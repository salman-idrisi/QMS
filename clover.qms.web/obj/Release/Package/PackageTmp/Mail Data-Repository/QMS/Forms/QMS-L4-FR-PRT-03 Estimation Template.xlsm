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sushant.sarkhot\Desktop\QMS Release 3.0\QMS 2.1\"/>
    </mc:Choice>
  </mc:AlternateContent>
  <xr:revisionPtr revIDLastSave="0" documentId="13_ncr:1_{79C5F799-9532-4F25-98E1-C8ED075957E3}" xr6:coauthVersionLast="45" xr6:coauthVersionMax="45" xr10:uidLastSave="{00000000-0000-0000-0000-000000000000}"/>
  <bookViews>
    <workbookView xWindow="-120" yWindow="-120" windowWidth="20730" windowHeight="11160" tabRatio="931" xr2:uid="{00000000-000D-0000-FFFF-FFFF00000000}"/>
  </bookViews>
  <sheets>
    <sheet name="How to Use" sheetId="10" r:id="rId1"/>
    <sheet name="General Application" sheetId="19" r:id="rId2"/>
    <sheet name="Reports" sheetId="20" r:id="rId3"/>
    <sheet name="Summary" sheetId="4" r:id="rId4"/>
    <sheet name="Detailed Dev Efforts" sheetId="1" r:id="rId5"/>
    <sheet name="Development" sheetId="7" state="hidden" r:id="rId6"/>
    <sheet name="Summary Efforts" sheetId="15" r:id="rId7"/>
    <sheet name="Resource Loading" sheetId="16" r:id="rId8"/>
    <sheet name="Offshore Costing" sheetId="2" r:id="rId9"/>
    <sheet name="Onsite Costing" sheetId="17" r:id="rId10"/>
    <sheet name="Client Site Costing" sheetId="18" r:id="rId11"/>
    <sheet name="Master" sheetId="3" r:id="rId12"/>
    <sheet name="RateCard" sheetId="5" r:id="rId13"/>
    <sheet name="Final Estimates" sheetId="14" r:id="rId14"/>
    <sheet name="CM Calculator" sheetId="21" r:id="rId15"/>
  </sheets>
  <definedNames>
    <definedName name="_xlnm._FilterDatabase" localSheetId="10" hidden="1">'Client Site Costing'!$B$1:$I$36</definedName>
    <definedName name="_xlnm._FilterDatabase" localSheetId="4" hidden="1">'Detailed Dev Efforts'!$A$6:$F$306</definedName>
    <definedName name="_xlnm._FilterDatabase" localSheetId="8" hidden="1">'Offshore Costing'!$B$1:$I$36</definedName>
    <definedName name="_xlnm._FilterDatabase" localSheetId="9" hidden="1">'Onsite Costing'!$B$1:$I$36</definedName>
    <definedName name="_xlnm._FilterDatabase" localSheetId="12" hidden="1">RateCard!$B$2:$N$39</definedName>
    <definedName name="_xlnm._FilterDatabase" localSheetId="7" hidden="1">'Resource Loading'!$B$12:$M$26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3" i="16" l="1"/>
  <c r="K22" i="16"/>
  <c r="K21" i="16"/>
  <c r="K20" i="16"/>
  <c r="K19" i="16"/>
  <c r="K18" i="16"/>
  <c r="I10" i="16"/>
  <c r="K17" i="16"/>
  <c r="K13" i="16"/>
  <c r="K25" i="16"/>
  <c r="K24" i="16"/>
  <c r="K16" i="16"/>
  <c r="K15" i="16"/>
  <c r="K14" i="16"/>
  <c r="F14" i="21"/>
  <c r="G14" i="21"/>
  <c r="H14" i="21" s="1"/>
  <c r="H7" i="18"/>
  <c r="H26" i="17"/>
  <c r="H25" i="17"/>
  <c r="H24" i="17"/>
  <c r="H23" i="17"/>
  <c r="H22" i="17"/>
  <c r="H21" i="17"/>
  <c r="H20" i="17"/>
  <c r="H19" i="17"/>
  <c r="H18" i="17"/>
  <c r="H17" i="17"/>
  <c r="H16" i="17"/>
  <c r="H15" i="17"/>
  <c r="H14" i="17"/>
  <c r="H13" i="17"/>
  <c r="H12" i="17"/>
  <c r="H11" i="17"/>
  <c r="H10" i="17"/>
  <c r="H9" i="17"/>
  <c r="H8" i="17"/>
  <c r="H7" i="17"/>
  <c r="H26" i="2"/>
  <c r="H25" i="2"/>
  <c r="H24" i="2"/>
  <c r="H23" i="2"/>
  <c r="H22" i="2"/>
  <c r="H21" i="2"/>
  <c r="H20" i="2"/>
  <c r="H19" i="2"/>
  <c r="H18" i="2"/>
  <c r="H17" i="2"/>
  <c r="H16" i="2"/>
  <c r="H15" i="2"/>
  <c r="H14" i="2"/>
  <c r="H13" i="2"/>
  <c r="H12" i="2"/>
  <c r="H11" i="2"/>
  <c r="H10" i="2"/>
  <c r="H9" i="2"/>
  <c r="H8" i="2"/>
  <c r="H7" i="2"/>
  <c r="D42" i="19"/>
  <c r="E5" i="5"/>
  <c r="J5" i="5" s="1"/>
  <c r="K5" i="5" s="1"/>
  <c r="M5" i="5" s="1"/>
  <c r="F38" i="17"/>
  <c r="F37" i="17"/>
  <c r="F36" i="17"/>
  <c r="F35" i="17"/>
  <c r="F34" i="17"/>
  <c r="F33" i="17"/>
  <c r="F32" i="17"/>
  <c r="F30" i="17"/>
  <c r="F31" i="17"/>
  <c r="J21" i="15"/>
  <c r="I21" i="15"/>
  <c r="H21" i="15"/>
  <c r="E17" i="5"/>
  <c r="J17" i="5"/>
  <c r="K17" i="5" s="1"/>
  <c r="M17" i="5" s="1"/>
  <c r="E14" i="5"/>
  <c r="J14" i="5"/>
  <c r="K14" i="5" s="1"/>
  <c r="M14" i="5" s="1"/>
  <c r="C5" i="14"/>
  <c r="F39" i="17"/>
  <c r="F38" i="18"/>
  <c r="F37" i="18"/>
  <c r="F36" i="18"/>
  <c r="F35" i="18"/>
  <c r="F34" i="18"/>
  <c r="F33" i="18"/>
  <c r="F32" i="18"/>
  <c r="F31" i="18"/>
  <c r="G7" i="14"/>
  <c r="G5" i="14"/>
  <c r="E5" i="14"/>
  <c r="D5" i="14"/>
  <c r="D2" i="14"/>
  <c r="D1" i="14"/>
  <c r="E13" i="15"/>
  <c r="H17" i="5"/>
  <c r="N17" i="5" s="1"/>
  <c r="H14" i="5"/>
  <c r="N14" i="5" s="1"/>
  <c r="E29" i="5"/>
  <c r="J29" i="5" s="1"/>
  <c r="K29" i="5"/>
  <c r="H26" i="18"/>
  <c r="G26" i="18"/>
  <c r="F26" i="18"/>
  <c r="H25" i="18"/>
  <c r="G25" i="18"/>
  <c r="F25" i="18"/>
  <c r="H24" i="18"/>
  <c r="G24" i="18"/>
  <c r="F24" i="18"/>
  <c r="H23" i="18"/>
  <c r="G23" i="18"/>
  <c r="F23" i="18"/>
  <c r="H22" i="18"/>
  <c r="G22" i="18"/>
  <c r="F22" i="18"/>
  <c r="H21" i="18"/>
  <c r="G21" i="18"/>
  <c r="F21" i="18"/>
  <c r="H20" i="18"/>
  <c r="G20" i="18"/>
  <c r="F20" i="18"/>
  <c r="H19" i="18"/>
  <c r="G19" i="18"/>
  <c r="F19" i="18"/>
  <c r="H18" i="18"/>
  <c r="G18" i="18"/>
  <c r="F18" i="18"/>
  <c r="G26" i="17"/>
  <c r="F26" i="17"/>
  <c r="G25" i="17"/>
  <c r="F25" i="17"/>
  <c r="G24" i="17"/>
  <c r="G23" i="17"/>
  <c r="G22" i="17"/>
  <c r="F22" i="17"/>
  <c r="G21" i="17"/>
  <c r="F21" i="17"/>
  <c r="F20" i="17"/>
  <c r="G19" i="17"/>
  <c r="G18" i="17"/>
  <c r="F18" i="17"/>
  <c r="G17" i="17"/>
  <c r="F17" i="17"/>
  <c r="G16" i="17"/>
  <c r="G15" i="17"/>
  <c r="G14" i="17"/>
  <c r="F14" i="17"/>
  <c r="G13" i="17"/>
  <c r="F13" i="17"/>
  <c r="F12" i="17"/>
  <c r="G11" i="17"/>
  <c r="F10" i="17"/>
  <c r="F9" i="17"/>
  <c r="G8" i="17"/>
  <c r="E21" i="5"/>
  <c r="J21" i="5"/>
  <c r="K21" i="5" s="1"/>
  <c r="M21" i="5" s="1"/>
  <c r="E23" i="5"/>
  <c r="J23" i="5"/>
  <c r="K23" i="5" s="1"/>
  <c r="M23" i="5" s="1"/>
  <c r="F26" i="2"/>
  <c r="F25" i="2"/>
  <c r="G24" i="2"/>
  <c r="G23" i="2"/>
  <c r="F22" i="2"/>
  <c r="G20" i="2"/>
  <c r="G19" i="2"/>
  <c r="F17" i="2"/>
  <c r="G16" i="2"/>
  <c r="G15" i="2"/>
  <c r="G14" i="2"/>
  <c r="F13" i="2"/>
  <c r="F12" i="2"/>
  <c r="G11" i="2"/>
  <c r="G10" i="2"/>
  <c r="F9" i="2"/>
  <c r="G8" i="2"/>
  <c r="F30" i="18"/>
  <c r="F39" i="18" s="1"/>
  <c r="G8" i="14" s="1"/>
  <c r="A21" i="18"/>
  <c r="A15" i="18"/>
  <c r="A9" i="18"/>
  <c r="A7" i="18"/>
  <c r="G6" i="18"/>
  <c r="F6" i="18"/>
  <c r="E6" i="18"/>
  <c r="D6" i="18"/>
  <c r="C6" i="18"/>
  <c r="D2" i="18"/>
  <c r="D1" i="18"/>
  <c r="F38" i="2"/>
  <c r="F37" i="2"/>
  <c r="F36" i="2"/>
  <c r="F35" i="2"/>
  <c r="F34" i="2"/>
  <c r="F33" i="2"/>
  <c r="F32" i="2"/>
  <c r="F31" i="2"/>
  <c r="A21" i="17"/>
  <c r="A15" i="17"/>
  <c r="A9" i="17"/>
  <c r="G6" i="17"/>
  <c r="F6" i="17"/>
  <c r="E6" i="17"/>
  <c r="D6" i="17"/>
  <c r="C6" i="17"/>
  <c r="D2" i="17"/>
  <c r="D1" i="17"/>
  <c r="F30" i="2"/>
  <c r="F39" i="2" s="1"/>
  <c r="G6" i="14" s="1"/>
  <c r="D2" i="16"/>
  <c r="D1" i="16"/>
  <c r="E6" i="2"/>
  <c r="D6" i="2"/>
  <c r="G6" i="2"/>
  <c r="F6" i="2"/>
  <c r="C6" i="2"/>
  <c r="H29" i="5"/>
  <c r="N29" i="5" s="1"/>
  <c r="G21" i="2"/>
  <c r="G10" i="17"/>
  <c r="G9" i="17"/>
  <c r="G17" i="2"/>
  <c r="H21" i="5"/>
  <c r="N21" i="5" s="1"/>
  <c r="H23" i="5"/>
  <c r="N23" i="5" s="1"/>
  <c r="F8" i="17"/>
  <c r="F16" i="17"/>
  <c r="F24" i="17"/>
  <c r="F11" i="17"/>
  <c r="G12" i="17"/>
  <c r="F15" i="17"/>
  <c r="F19" i="17"/>
  <c r="G20" i="17"/>
  <c r="F23" i="17"/>
  <c r="G13" i="2"/>
  <c r="G9" i="2"/>
  <c r="F14" i="2"/>
  <c r="G25" i="2"/>
  <c r="F10" i="2"/>
  <c r="F18" i="2"/>
  <c r="G18" i="2"/>
  <c r="F21" i="2"/>
  <c r="G26" i="2"/>
  <c r="G22" i="2"/>
  <c r="F8" i="2"/>
  <c r="F16" i="2"/>
  <c r="F20" i="2"/>
  <c r="F24" i="2"/>
  <c r="F11" i="2"/>
  <c r="G12" i="2"/>
  <c r="F15" i="2"/>
  <c r="F19" i="2"/>
  <c r="F23" i="2"/>
  <c r="H16" i="18"/>
  <c r="H17" i="18"/>
  <c r="H12" i="18"/>
  <c r="H8" i="18"/>
  <c r="I16" i="15"/>
  <c r="D21" i="15"/>
  <c r="J16" i="15"/>
  <c r="H16" i="15"/>
  <c r="H22" i="15" s="1"/>
  <c r="J13" i="15"/>
  <c r="I13" i="15"/>
  <c r="I22" i="15" s="1"/>
  <c r="H13" i="15"/>
  <c r="D2" i="2"/>
  <c r="D1" i="2"/>
  <c r="E2" i="15"/>
  <c r="E1" i="15"/>
  <c r="D2" i="1"/>
  <c r="D1" i="1"/>
  <c r="G9" i="15"/>
  <c r="J22" i="15"/>
  <c r="H10" i="18"/>
  <c r="G10" i="15"/>
  <c r="G13" i="15"/>
  <c r="D4" i="15"/>
  <c r="G21" i="15"/>
  <c r="G20" i="15"/>
  <c r="G19" i="15"/>
  <c r="G18" i="15"/>
  <c r="G17" i="15"/>
  <c r="G15" i="15"/>
  <c r="G14" i="15"/>
  <c r="G16" i="15" s="1"/>
  <c r="G12" i="15"/>
  <c r="G11" i="15"/>
  <c r="G8" i="15"/>
  <c r="G7" i="15"/>
  <c r="G6" i="15"/>
  <c r="G5" i="15"/>
  <c r="G22" i="15"/>
  <c r="E27" i="5"/>
  <c r="J27" i="5"/>
  <c r="K27" i="5" s="1"/>
  <c r="E26" i="5"/>
  <c r="H27" i="5"/>
  <c r="N27" i="5"/>
  <c r="E28" i="5"/>
  <c r="J28" i="5"/>
  <c r="K28" i="5" s="1"/>
  <c r="H14" i="18"/>
  <c r="H28" i="5"/>
  <c r="N28" i="5"/>
  <c r="E25" i="5"/>
  <c r="J25" i="5"/>
  <c r="K25" i="5" s="1"/>
  <c r="E24" i="5"/>
  <c r="G17" i="18"/>
  <c r="G14" i="18"/>
  <c r="G16" i="18"/>
  <c r="F16" i="18"/>
  <c r="F14" i="18"/>
  <c r="F17" i="18"/>
  <c r="F13" i="18"/>
  <c r="F15" i="18"/>
  <c r="H25" i="5"/>
  <c r="N25" i="5" s="1"/>
  <c r="G15" i="18"/>
  <c r="H15" i="18"/>
  <c r="G13" i="18"/>
  <c r="H13" i="18"/>
  <c r="E306" i="1"/>
  <c r="F306" i="1" s="1"/>
  <c r="E305" i="1"/>
  <c r="F305" i="1" s="1"/>
  <c r="E304" i="1"/>
  <c r="F304" i="1" s="1"/>
  <c r="E303" i="1"/>
  <c r="F303" i="1" s="1"/>
  <c r="E302" i="1"/>
  <c r="F302" i="1" s="1"/>
  <c r="E301" i="1"/>
  <c r="F301" i="1" s="1"/>
  <c r="E300" i="1"/>
  <c r="F300" i="1" s="1"/>
  <c r="E299" i="1"/>
  <c r="F299" i="1" s="1"/>
  <c r="E298" i="1"/>
  <c r="F298" i="1" s="1"/>
  <c r="E297" i="1"/>
  <c r="F297" i="1" s="1"/>
  <c r="E296" i="1"/>
  <c r="F296" i="1" s="1"/>
  <c r="E295" i="1"/>
  <c r="F295" i="1" s="1"/>
  <c r="E294" i="1"/>
  <c r="F294" i="1" s="1"/>
  <c r="E293" i="1"/>
  <c r="F293" i="1" s="1"/>
  <c r="E292" i="1"/>
  <c r="F292" i="1" s="1"/>
  <c r="E291" i="1"/>
  <c r="F291" i="1" s="1"/>
  <c r="E290" i="1"/>
  <c r="F290" i="1" s="1"/>
  <c r="E289" i="1"/>
  <c r="F289" i="1" s="1"/>
  <c r="E288" i="1"/>
  <c r="F288" i="1" s="1"/>
  <c r="E287" i="1"/>
  <c r="F287" i="1" s="1"/>
  <c r="E286" i="1"/>
  <c r="F286" i="1" s="1"/>
  <c r="E285" i="1"/>
  <c r="F285" i="1" s="1"/>
  <c r="E284" i="1"/>
  <c r="F284" i="1" s="1"/>
  <c r="E283" i="1"/>
  <c r="F283" i="1" s="1"/>
  <c r="E282" i="1"/>
  <c r="F282" i="1" s="1"/>
  <c r="E281" i="1"/>
  <c r="F281" i="1" s="1"/>
  <c r="E280" i="1"/>
  <c r="F280" i="1" s="1"/>
  <c r="E279" i="1"/>
  <c r="F279" i="1" s="1"/>
  <c r="E278" i="1"/>
  <c r="F278" i="1" s="1"/>
  <c r="E277" i="1"/>
  <c r="F277" i="1" s="1"/>
  <c r="E276" i="1"/>
  <c r="F276" i="1" s="1"/>
  <c r="E275" i="1"/>
  <c r="F275" i="1" s="1"/>
  <c r="E274" i="1"/>
  <c r="F274" i="1" s="1"/>
  <c r="E273" i="1"/>
  <c r="F273" i="1" s="1"/>
  <c r="E272" i="1"/>
  <c r="F272" i="1" s="1"/>
  <c r="E271" i="1"/>
  <c r="F271" i="1" s="1"/>
  <c r="E270" i="1"/>
  <c r="F270" i="1" s="1"/>
  <c r="E269" i="1"/>
  <c r="F269" i="1" s="1"/>
  <c r="E268" i="1"/>
  <c r="F268" i="1" s="1"/>
  <c r="E267" i="1"/>
  <c r="F267" i="1" s="1"/>
  <c r="E266" i="1"/>
  <c r="F266" i="1" s="1"/>
  <c r="E265" i="1"/>
  <c r="F265" i="1" s="1"/>
  <c r="E264" i="1"/>
  <c r="F264" i="1" s="1"/>
  <c r="E263" i="1"/>
  <c r="F263" i="1" s="1"/>
  <c r="E262" i="1"/>
  <c r="F262" i="1" s="1"/>
  <c r="E261" i="1"/>
  <c r="F261" i="1" s="1"/>
  <c r="E260" i="1"/>
  <c r="F260" i="1" s="1"/>
  <c r="E259" i="1"/>
  <c r="F259" i="1" s="1"/>
  <c r="E258" i="1"/>
  <c r="F258" i="1" s="1"/>
  <c r="E257" i="1"/>
  <c r="F257" i="1" s="1"/>
  <c r="E256" i="1"/>
  <c r="F256" i="1" s="1"/>
  <c r="E255" i="1"/>
  <c r="F255" i="1" s="1"/>
  <c r="E254" i="1"/>
  <c r="F254" i="1" s="1"/>
  <c r="E253" i="1"/>
  <c r="F253" i="1" s="1"/>
  <c r="E252" i="1"/>
  <c r="F252" i="1" s="1"/>
  <c r="E251" i="1"/>
  <c r="F251" i="1" s="1"/>
  <c r="E250" i="1"/>
  <c r="F250" i="1" s="1"/>
  <c r="E249" i="1"/>
  <c r="F249" i="1" s="1"/>
  <c r="E248" i="1"/>
  <c r="F248" i="1" s="1"/>
  <c r="E247" i="1"/>
  <c r="F247" i="1" s="1"/>
  <c r="E246" i="1"/>
  <c r="F246" i="1" s="1"/>
  <c r="E245" i="1"/>
  <c r="F245" i="1" s="1"/>
  <c r="E244" i="1"/>
  <c r="F244" i="1" s="1"/>
  <c r="E243" i="1"/>
  <c r="F243" i="1" s="1"/>
  <c r="E242" i="1"/>
  <c r="F242" i="1" s="1"/>
  <c r="E241" i="1"/>
  <c r="F241" i="1" s="1"/>
  <c r="E240" i="1"/>
  <c r="F240" i="1" s="1"/>
  <c r="E239" i="1"/>
  <c r="F239" i="1" s="1"/>
  <c r="E238" i="1"/>
  <c r="F238" i="1" s="1"/>
  <c r="E237" i="1"/>
  <c r="F237" i="1" s="1"/>
  <c r="E236" i="1"/>
  <c r="F236" i="1" s="1"/>
  <c r="E235" i="1"/>
  <c r="F235" i="1" s="1"/>
  <c r="E234" i="1"/>
  <c r="F234" i="1" s="1"/>
  <c r="E233" i="1"/>
  <c r="F233" i="1" s="1"/>
  <c r="E232" i="1"/>
  <c r="F232" i="1" s="1"/>
  <c r="E231" i="1"/>
  <c r="F231" i="1" s="1"/>
  <c r="E230" i="1"/>
  <c r="F230" i="1" s="1"/>
  <c r="E229" i="1"/>
  <c r="F229" i="1" s="1"/>
  <c r="E228" i="1"/>
  <c r="F228" i="1" s="1"/>
  <c r="E227" i="1"/>
  <c r="F227" i="1" s="1"/>
  <c r="E226" i="1"/>
  <c r="F226" i="1" s="1"/>
  <c r="E225" i="1"/>
  <c r="F225" i="1" s="1"/>
  <c r="E224" i="1"/>
  <c r="F224" i="1" s="1"/>
  <c r="E223" i="1"/>
  <c r="F223" i="1" s="1"/>
  <c r="E222" i="1"/>
  <c r="F222" i="1" s="1"/>
  <c r="E221" i="1"/>
  <c r="F221" i="1" s="1"/>
  <c r="E220" i="1"/>
  <c r="F220" i="1" s="1"/>
  <c r="E219" i="1"/>
  <c r="F219" i="1" s="1"/>
  <c r="E218" i="1"/>
  <c r="F218" i="1" s="1"/>
  <c r="E217" i="1"/>
  <c r="F217" i="1" s="1"/>
  <c r="E216" i="1"/>
  <c r="F216" i="1" s="1"/>
  <c r="E215" i="1"/>
  <c r="F215" i="1" s="1"/>
  <c r="E214" i="1"/>
  <c r="F214" i="1" s="1"/>
  <c r="E213" i="1"/>
  <c r="F213" i="1" s="1"/>
  <c r="E212" i="1"/>
  <c r="F212" i="1" s="1"/>
  <c r="E211" i="1"/>
  <c r="F211" i="1" s="1"/>
  <c r="E210" i="1"/>
  <c r="F210" i="1" s="1"/>
  <c r="E209" i="1"/>
  <c r="F209" i="1" s="1"/>
  <c r="E208" i="1"/>
  <c r="F208" i="1" s="1"/>
  <c r="E207" i="1"/>
  <c r="F207" i="1" s="1"/>
  <c r="E206" i="1"/>
  <c r="F206" i="1" s="1"/>
  <c r="E205" i="1"/>
  <c r="F205" i="1" s="1"/>
  <c r="E204" i="1"/>
  <c r="F204" i="1"/>
  <c r="E203" i="1"/>
  <c r="F203" i="1" s="1"/>
  <c r="E202" i="1"/>
  <c r="F202" i="1" s="1"/>
  <c r="E201" i="1"/>
  <c r="F201" i="1" s="1"/>
  <c r="E200" i="1"/>
  <c r="F200" i="1"/>
  <c r="E199" i="1"/>
  <c r="F199" i="1" s="1"/>
  <c r="E198" i="1"/>
  <c r="F198" i="1" s="1"/>
  <c r="E197" i="1"/>
  <c r="F197" i="1" s="1"/>
  <c r="E196" i="1"/>
  <c r="F196" i="1"/>
  <c r="E195" i="1"/>
  <c r="F195" i="1" s="1"/>
  <c r="E194" i="1"/>
  <c r="F194" i="1" s="1"/>
  <c r="E193" i="1"/>
  <c r="F193" i="1" s="1"/>
  <c r="E192" i="1"/>
  <c r="F192" i="1"/>
  <c r="E191" i="1"/>
  <c r="F191" i="1" s="1"/>
  <c r="E190" i="1"/>
  <c r="F190" i="1" s="1"/>
  <c r="E189" i="1"/>
  <c r="F189" i="1" s="1"/>
  <c r="E188" i="1"/>
  <c r="F188" i="1"/>
  <c r="E187" i="1"/>
  <c r="F187" i="1" s="1"/>
  <c r="E186" i="1"/>
  <c r="F186" i="1" s="1"/>
  <c r="E185" i="1"/>
  <c r="F185" i="1" s="1"/>
  <c r="E184" i="1"/>
  <c r="F184" i="1"/>
  <c r="E183" i="1"/>
  <c r="F183" i="1" s="1"/>
  <c r="E182" i="1"/>
  <c r="F182" i="1" s="1"/>
  <c r="E181" i="1"/>
  <c r="F181" i="1" s="1"/>
  <c r="E180" i="1"/>
  <c r="F180" i="1"/>
  <c r="E179" i="1"/>
  <c r="F179" i="1" s="1"/>
  <c r="E178" i="1"/>
  <c r="F178" i="1" s="1"/>
  <c r="E177" i="1"/>
  <c r="F177" i="1" s="1"/>
  <c r="E176" i="1"/>
  <c r="F176" i="1"/>
  <c r="E175" i="1"/>
  <c r="F175" i="1" s="1"/>
  <c r="E174" i="1"/>
  <c r="F174" i="1" s="1"/>
  <c r="E173" i="1"/>
  <c r="F173" i="1" s="1"/>
  <c r="E172" i="1"/>
  <c r="F172" i="1"/>
  <c r="E171" i="1"/>
  <c r="F171" i="1" s="1"/>
  <c r="E170" i="1"/>
  <c r="F170" i="1" s="1"/>
  <c r="E169" i="1"/>
  <c r="F169" i="1" s="1"/>
  <c r="E168" i="1"/>
  <c r="F168" i="1"/>
  <c r="E167" i="1"/>
  <c r="F167" i="1" s="1"/>
  <c r="E166" i="1"/>
  <c r="F166" i="1" s="1"/>
  <c r="E165" i="1"/>
  <c r="F165" i="1" s="1"/>
  <c r="E164" i="1"/>
  <c r="F164" i="1"/>
  <c r="E163" i="1"/>
  <c r="F163" i="1" s="1"/>
  <c r="E162" i="1"/>
  <c r="F162" i="1" s="1"/>
  <c r="E161" i="1"/>
  <c r="F161" i="1" s="1"/>
  <c r="E160" i="1"/>
  <c r="F160" i="1" s="1"/>
  <c r="E159" i="1"/>
  <c r="F159" i="1" s="1"/>
  <c r="E158" i="1"/>
  <c r="F158" i="1" s="1"/>
  <c r="E157" i="1"/>
  <c r="F157" i="1" s="1"/>
  <c r="E156" i="1"/>
  <c r="F156" i="1" s="1"/>
  <c r="E155" i="1"/>
  <c r="F155" i="1" s="1"/>
  <c r="E154" i="1"/>
  <c r="F154" i="1" s="1"/>
  <c r="E153" i="1"/>
  <c r="F153" i="1" s="1"/>
  <c r="E152" i="1"/>
  <c r="F152" i="1" s="1"/>
  <c r="E151" i="1"/>
  <c r="F151" i="1" s="1"/>
  <c r="E150" i="1"/>
  <c r="F150" i="1" s="1"/>
  <c r="E149" i="1"/>
  <c r="F149" i="1" s="1"/>
  <c r="E148" i="1"/>
  <c r="F148" i="1" s="1"/>
  <c r="E147" i="1"/>
  <c r="F147" i="1" s="1"/>
  <c r="E146" i="1"/>
  <c r="F146" i="1" s="1"/>
  <c r="E145" i="1"/>
  <c r="F145" i="1" s="1"/>
  <c r="E144" i="1"/>
  <c r="F144" i="1" s="1"/>
  <c r="E143" i="1"/>
  <c r="F143" i="1" s="1"/>
  <c r="E142" i="1"/>
  <c r="F142" i="1" s="1"/>
  <c r="E141" i="1"/>
  <c r="F141" i="1" s="1"/>
  <c r="E140" i="1"/>
  <c r="F140" i="1" s="1"/>
  <c r="E139" i="1"/>
  <c r="F139" i="1" s="1"/>
  <c r="E138" i="1"/>
  <c r="F138" i="1" s="1"/>
  <c r="E137" i="1"/>
  <c r="F137" i="1" s="1"/>
  <c r="E136" i="1"/>
  <c r="F136" i="1" s="1"/>
  <c r="E135" i="1"/>
  <c r="F135" i="1" s="1"/>
  <c r="E134" i="1"/>
  <c r="F134" i="1" s="1"/>
  <c r="E133" i="1"/>
  <c r="F133" i="1" s="1"/>
  <c r="E132" i="1"/>
  <c r="F132" i="1" s="1"/>
  <c r="E131" i="1"/>
  <c r="F131" i="1" s="1"/>
  <c r="E130" i="1"/>
  <c r="F130" i="1" s="1"/>
  <c r="E129" i="1"/>
  <c r="F129" i="1" s="1"/>
  <c r="E128" i="1"/>
  <c r="F128" i="1" s="1"/>
  <c r="E127" i="1"/>
  <c r="F127" i="1" s="1"/>
  <c r="E126" i="1"/>
  <c r="F126" i="1" s="1"/>
  <c r="E125" i="1"/>
  <c r="F125" i="1" s="1"/>
  <c r="E124" i="1"/>
  <c r="F124" i="1" s="1"/>
  <c r="E123" i="1"/>
  <c r="F123" i="1" s="1"/>
  <c r="E122" i="1"/>
  <c r="F122" i="1" s="1"/>
  <c r="E121" i="1"/>
  <c r="F121" i="1" s="1"/>
  <c r="E120" i="1"/>
  <c r="F120" i="1" s="1"/>
  <c r="E119" i="1"/>
  <c r="F119" i="1" s="1"/>
  <c r="E118" i="1"/>
  <c r="F118" i="1" s="1"/>
  <c r="E117" i="1"/>
  <c r="F117" i="1" s="1"/>
  <c r="E116" i="1"/>
  <c r="F116" i="1" s="1"/>
  <c r="E115" i="1"/>
  <c r="F115" i="1" s="1"/>
  <c r="E114" i="1"/>
  <c r="F114" i="1" s="1"/>
  <c r="E113" i="1"/>
  <c r="F113" i="1" s="1"/>
  <c r="E112" i="1"/>
  <c r="F112" i="1" s="1"/>
  <c r="E111" i="1"/>
  <c r="F111" i="1" s="1"/>
  <c r="E110" i="1"/>
  <c r="F110" i="1" s="1"/>
  <c r="E109" i="1"/>
  <c r="F109" i="1" s="1"/>
  <c r="E108" i="1"/>
  <c r="F108" i="1" s="1"/>
  <c r="E107" i="1"/>
  <c r="F107" i="1" s="1"/>
  <c r="E106" i="1"/>
  <c r="F106" i="1" s="1"/>
  <c r="E105" i="1"/>
  <c r="F105" i="1" s="1"/>
  <c r="E104" i="1"/>
  <c r="F104" i="1" s="1"/>
  <c r="E103" i="1"/>
  <c r="F103" i="1" s="1"/>
  <c r="E102" i="1"/>
  <c r="F102" i="1" s="1"/>
  <c r="E101" i="1"/>
  <c r="F101" i="1" s="1"/>
  <c r="E100" i="1"/>
  <c r="F100" i="1" s="1"/>
  <c r="E99" i="1"/>
  <c r="F99" i="1" s="1"/>
  <c r="E98" i="1"/>
  <c r="F98" i="1" s="1"/>
  <c r="E97" i="1"/>
  <c r="F97" i="1" s="1"/>
  <c r="E96" i="1"/>
  <c r="F96" i="1" s="1"/>
  <c r="E95" i="1"/>
  <c r="F95" i="1" s="1"/>
  <c r="E94" i="1"/>
  <c r="F94" i="1" s="1"/>
  <c r="E93" i="1"/>
  <c r="F93" i="1" s="1"/>
  <c r="E92" i="1"/>
  <c r="F92" i="1" s="1"/>
  <c r="E91" i="1"/>
  <c r="F91" i="1" s="1"/>
  <c r="E90" i="1"/>
  <c r="F90" i="1" s="1"/>
  <c r="E89" i="1"/>
  <c r="F89" i="1" s="1"/>
  <c r="E88" i="1"/>
  <c r="F88" i="1" s="1"/>
  <c r="E87" i="1"/>
  <c r="F87" i="1" s="1"/>
  <c r="E86" i="1"/>
  <c r="F86" i="1" s="1"/>
  <c r="E85" i="1"/>
  <c r="F85" i="1" s="1"/>
  <c r="E84" i="1"/>
  <c r="F84" i="1" s="1"/>
  <c r="E83" i="1"/>
  <c r="F83" i="1" s="1"/>
  <c r="E82" i="1"/>
  <c r="F82" i="1" s="1"/>
  <c r="E81" i="1"/>
  <c r="F81" i="1" s="1"/>
  <c r="E80" i="1"/>
  <c r="F80" i="1" s="1"/>
  <c r="E79" i="1"/>
  <c r="F79" i="1" s="1"/>
  <c r="E78" i="1"/>
  <c r="F78" i="1" s="1"/>
  <c r="E77" i="1"/>
  <c r="F77" i="1" s="1"/>
  <c r="E76" i="1"/>
  <c r="F76" i="1" s="1"/>
  <c r="E75" i="1"/>
  <c r="F75" i="1" s="1"/>
  <c r="E74" i="1"/>
  <c r="F74" i="1" s="1"/>
  <c r="E73" i="1"/>
  <c r="F73" i="1" s="1"/>
  <c r="E72" i="1"/>
  <c r="F72" i="1" s="1"/>
  <c r="E71" i="1"/>
  <c r="F71" i="1" s="1"/>
  <c r="E70" i="1"/>
  <c r="F70" i="1" s="1"/>
  <c r="E69" i="1"/>
  <c r="F69" i="1" s="1"/>
  <c r="E68" i="1"/>
  <c r="F68" i="1" s="1"/>
  <c r="E67" i="1"/>
  <c r="F67" i="1" s="1"/>
  <c r="E66" i="1"/>
  <c r="F66" i="1" s="1"/>
  <c r="E65" i="1"/>
  <c r="F65" i="1" s="1"/>
  <c r="E64" i="1"/>
  <c r="F64" i="1" s="1"/>
  <c r="E63" i="1"/>
  <c r="F63" i="1" s="1"/>
  <c r="E62" i="1"/>
  <c r="F62" i="1" s="1"/>
  <c r="E61" i="1"/>
  <c r="F61" i="1" s="1"/>
  <c r="E60" i="1"/>
  <c r="F60" i="1" s="1"/>
  <c r="E59" i="1"/>
  <c r="F59" i="1" s="1"/>
  <c r="E58" i="1"/>
  <c r="F58" i="1" s="1"/>
  <c r="E57" i="1"/>
  <c r="F57" i="1" s="1"/>
  <c r="E56" i="1"/>
  <c r="F56" i="1" s="1"/>
  <c r="E55" i="1"/>
  <c r="F55" i="1" s="1"/>
  <c r="E54" i="1"/>
  <c r="F54" i="1" s="1"/>
  <c r="E53" i="1"/>
  <c r="F53" i="1" s="1"/>
  <c r="E52" i="1"/>
  <c r="F52" i="1" s="1"/>
  <c r="E51" i="1"/>
  <c r="F51" i="1" s="1"/>
  <c r="E50" i="1"/>
  <c r="F50" i="1" s="1"/>
  <c r="E49" i="1"/>
  <c r="F49" i="1" s="1"/>
  <c r="E48" i="1"/>
  <c r="F48" i="1" s="1"/>
  <c r="E47" i="1"/>
  <c r="F47" i="1" s="1"/>
  <c r="E46" i="1"/>
  <c r="F46" i="1" s="1"/>
  <c r="E45" i="1"/>
  <c r="F45" i="1" s="1"/>
  <c r="E44" i="1"/>
  <c r="F44" i="1" s="1"/>
  <c r="E43" i="1"/>
  <c r="F43" i="1" s="1"/>
  <c r="E42" i="1"/>
  <c r="F42" i="1" s="1"/>
  <c r="E41" i="1"/>
  <c r="F41" i="1" s="1"/>
  <c r="E40" i="1"/>
  <c r="F40" i="1" s="1"/>
  <c r="E39" i="1"/>
  <c r="F39" i="1" s="1"/>
  <c r="E38" i="1"/>
  <c r="F38" i="1" s="1"/>
  <c r="E37" i="1"/>
  <c r="F37" i="1" s="1"/>
  <c r="E36" i="1"/>
  <c r="F36" i="1" s="1"/>
  <c r="E35" i="1"/>
  <c r="F35" i="1" s="1"/>
  <c r="E34" i="1"/>
  <c r="F34" i="1" s="1"/>
  <c r="E33" i="1"/>
  <c r="F33" i="1" s="1"/>
  <c r="E32" i="1"/>
  <c r="F32" i="1" s="1"/>
  <c r="E31" i="1"/>
  <c r="F31" i="1" s="1"/>
  <c r="E30" i="1"/>
  <c r="F30" i="1" s="1"/>
  <c r="E29" i="1"/>
  <c r="F29" i="1" s="1"/>
  <c r="E28" i="1"/>
  <c r="F28" i="1" s="1"/>
  <c r="E27" i="1"/>
  <c r="F27" i="1" s="1"/>
  <c r="E26" i="1"/>
  <c r="F26" i="1" s="1"/>
  <c r="E25" i="1"/>
  <c r="F25" i="1" s="1"/>
  <c r="E24" i="1"/>
  <c r="F24" i="1" s="1"/>
  <c r="E23" i="1"/>
  <c r="F23" i="1" s="1"/>
  <c r="E22" i="1"/>
  <c r="F22" i="1" s="1"/>
  <c r="E21" i="1"/>
  <c r="F21" i="1" s="1"/>
  <c r="E20" i="1"/>
  <c r="F20" i="1" s="1"/>
  <c r="E19" i="1"/>
  <c r="F19" i="1" s="1"/>
  <c r="E18" i="1"/>
  <c r="F18" i="1" s="1"/>
  <c r="E17" i="1"/>
  <c r="F17" i="1" s="1"/>
  <c r="E19" i="5"/>
  <c r="J19" i="5" s="1"/>
  <c r="K19" i="5"/>
  <c r="M19" i="5" s="1"/>
  <c r="E16" i="5"/>
  <c r="J16" i="5"/>
  <c r="K16" i="5" s="1"/>
  <c r="M16" i="5" s="1"/>
  <c r="E13" i="5"/>
  <c r="H13" i="5" s="1"/>
  <c r="N13" i="5"/>
  <c r="E10" i="5"/>
  <c r="J10" i="5"/>
  <c r="K10" i="5" s="1"/>
  <c r="M10" i="5" s="1"/>
  <c r="E8" i="5"/>
  <c r="J8" i="5" s="1"/>
  <c r="K8" i="5"/>
  <c r="M8" i="5" s="1"/>
  <c r="E6" i="5"/>
  <c r="J6" i="5" s="1"/>
  <c r="K6" i="5"/>
  <c r="M6" i="5" s="1"/>
  <c r="N3" i="7"/>
  <c r="M3" i="7"/>
  <c r="L3" i="7"/>
  <c r="K3" i="7"/>
  <c r="J3" i="7"/>
  <c r="I3" i="7"/>
  <c r="H3" i="7"/>
  <c r="F3" i="7"/>
  <c r="E3" i="7"/>
  <c r="E6" i="1"/>
  <c r="F6" i="1"/>
  <c r="O49" i="7"/>
  <c r="O48" i="7"/>
  <c r="O47" i="7"/>
  <c r="O46" i="7"/>
  <c r="O45" i="7"/>
  <c r="O44" i="7"/>
  <c r="O43" i="7"/>
  <c r="O42" i="7"/>
  <c r="O41" i="7"/>
  <c r="O40" i="7"/>
  <c r="O39" i="7"/>
  <c r="O38" i="7"/>
  <c r="O37" i="7"/>
  <c r="O36" i="7"/>
  <c r="O35" i="7"/>
  <c r="O34" i="7"/>
  <c r="O33" i="7"/>
  <c r="O32" i="7"/>
  <c r="O31" i="7"/>
  <c r="O30" i="7"/>
  <c r="O29" i="7"/>
  <c r="O28" i="7"/>
  <c r="O27" i="7"/>
  <c r="O26" i="7"/>
  <c r="O25" i="7"/>
  <c r="O24" i="7"/>
  <c r="O23" i="7"/>
  <c r="O22" i="7"/>
  <c r="O21" i="7"/>
  <c r="O20" i="7"/>
  <c r="O19" i="7"/>
  <c r="O18" i="7"/>
  <c r="O17" i="7"/>
  <c r="O16" i="7"/>
  <c r="O15" i="7"/>
  <c r="O14" i="7"/>
  <c r="E13" i="7"/>
  <c r="F13" i="7"/>
  <c r="E12" i="7"/>
  <c r="F12" i="7"/>
  <c r="E11" i="7"/>
  <c r="F11" i="7"/>
  <c r="E10" i="7"/>
  <c r="F10" i="7"/>
  <c r="E9" i="7"/>
  <c r="F9" i="7"/>
  <c r="E8" i="7"/>
  <c r="F8" i="7"/>
  <c r="E7" i="7"/>
  <c r="F7" i="7"/>
  <c r="E6" i="7"/>
  <c r="F6" i="7"/>
  <c r="E5" i="7"/>
  <c r="F5" i="7"/>
  <c r="S4" i="7"/>
  <c r="E4" i="7"/>
  <c r="F4" i="7" s="1"/>
  <c r="K4" i="7"/>
  <c r="O1" i="7"/>
  <c r="F1" i="7"/>
  <c r="L4" i="7" s="1"/>
  <c r="E39" i="5"/>
  <c r="J39" i="5"/>
  <c r="K39" i="5" s="1"/>
  <c r="M39" i="5" s="1"/>
  <c r="E38" i="5"/>
  <c r="J38" i="5"/>
  <c r="K38" i="5" s="1"/>
  <c r="M38" i="5"/>
  <c r="E37" i="5"/>
  <c r="J37" i="5"/>
  <c r="K37" i="5" s="1"/>
  <c r="M37" i="5" s="1"/>
  <c r="E36" i="5"/>
  <c r="H36" i="5"/>
  <c r="N36" i="5" s="1"/>
  <c r="E35" i="5"/>
  <c r="H35" i="5" s="1"/>
  <c r="N35" i="5" s="1"/>
  <c r="E34" i="5"/>
  <c r="J34" i="5"/>
  <c r="K34" i="5" s="1"/>
  <c r="M34" i="5" s="1"/>
  <c r="E33" i="5"/>
  <c r="J33" i="5"/>
  <c r="K33" i="5" s="1"/>
  <c r="M33" i="5" s="1"/>
  <c r="E32" i="5"/>
  <c r="J32" i="5"/>
  <c r="K32" i="5" s="1"/>
  <c r="M32" i="5" s="1"/>
  <c r="E31" i="5"/>
  <c r="H31" i="5"/>
  <c r="N31" i="5" s="1"/>
  <c r="E30" i="5"/>
  <c r="H30" i="5" s="1"/>
  <c r="N30" i="5" s="1"/>
  <c r="E22" i="5"/>
  <c r="J22" i="5"/>
  <c r="K22" i="5" s="1"/>
  <c r="M22" i="5" s="1"/>
  <c r="E20" i="5"/>
  <c r="J20" i="5"/>
  <c r="K20" i="5" s="1"/>
  <c r="M20" i="5" s="1"/>
  <c r="E18" i="5"/>
  <c r="H18" i="5" s="1"/>
  <c r="N18" i="5" s="1"/>
  <c r="E15" i="5"/>
  <c r="H15" i="5"/>
  <c r="N15" i="5" s="1"/>
  <c r="E12" i="5"/>
  <c r="H12" i="5" s="1"/>
  <c r="N12" i="5" s="1"/>
  <c r="K11" i="7"/>
  <c r="F11" i="18"/>
  <c r="F8" i="18"/>
  <c r="F27" i="18" s="1"/>
  <c r="G10" i="18"/>
  <c r="F7" i="17"/>
  <c r="F7" i="18"/>
  <c r="G12" i="18"/>
  <c r="J36" i="5"/>
  <c r="K36" i="5"/>
  <c r="M36" i="5" s="1"/>
  <c r="H19" i="5"/>
  <c r="N19" i="5" s="1"/>
  <c r="H16" i="5"/>
  <c r="N16" i="5" s="1"/>
  <c r="J15" i="5"/>
  <c r="K15" i="5" s="1"/>
  <c r="M15" i="5" s="1"/>
  <c r="J30" i="5"/>
  <c r="K30" i="5" s="1"/>
  <c r="H32" i="5"/>
  <c r="N32" i="5" s="1"/>
  <c r="H8" i="5"/>
  <c r="N8" i="5" s="1"/>
  <c r="J13" i="5"/>
  <c r="K13" i="5" s="1"/>
  <c r="M13" i="5" s="1"/>
  <c r="J35" i="5"/>
  <c r="K35" i="5" s="1"/>
  <c r="H37" i="5"/>
  <c r="N37" i="5" s="1"/>
  <c r="J12" i="5"/>
  <c r="K12" i="5" s="1"/>
  <c r="J31" i="5"/>
  <c r="K31" i="5" s="1"/>
  <c r="M31" i="5" s="1"/>
  <c r="H10" i="5"/>
  <c r="N10" i="5"/>
  <c r="H6" i="5"/>
  <c r="N6" i="5"/>
  <c r="L10" i="7"/>
  <c r="K10" i="7"/>
  <c r="I10" i="7"/>
  <c r="N5" i="7"/>
  <c r="J5" i="7"/>
  <c r="H5" i="7"/>
  <c r="J13" i="7"/>
  <c r="I13" i="7"/>
  <c r="H13" i="7"/>
  <c r="L6" i="7"/>
  <c r="K6" i="7"/>
  <c r="N6" i="7"/>
  <c r="N9" i="7"/>
  <c r="L9" i="7"/>
  <c r="K9" i="7"/>
  <c r="I11" i="7"/>
  <c r="H12" i="7"/>
  <c r="H7" i="7"/>
  <c r="K8" i="7"/>
  <c r="L11" i="7"/>
  <c r="I4" i="7"/>
  <c r="I7" i="7"/>
  <c r="H8" i="7"/>
  <c r="F2" i="7"/>
  <c r="J7" i="7"/>
  <c r="N8" i="7"/>
  <c r="I12" i="7"/>
  <c r="H4" i="7"/>
  <c r="J12" i="7"/>
  <c r="H38" i="5"/>
  <c r="N38" i="5"/>
  <c r="H39" i="5"/>
  <c r="N39" i="5"/>
  <c r="H33" i="5"/>
  <c r="N33" i="5"/>
  <c r="H34" i="5"/>
  <c r="N34" i="5"/>
  <c r="H20" i="5"/>
  <c r="N20" i="5"/>
  <c r="H22" i="5"/>
  <c r="N22" i="5"/>
  <c r="E11" i="5"/>
  <c r="J11" i="5"/>
  <c r="K11" i="5" s="1"/>
  <c r="M11" i="5" s="1"/>
  <c r="E9" i="5"/>
  <c r="H9" i="5"/>
  <c r="N9" i="5" s="1"/>
  <c r="E7" i="5"/>
  <c r="J7" i="5" s="1"/>
  <c r="K7" i="5" s="1"/>
  <c r="M7" i="5" s="1"/>
  <c r="E4" i="5"/>
  <c r="H4" i="5" s="1"/>
  <c r="N4" i="5" s="1"/>
  <c r="E3" i="5"/>
  <c r="J3" i="5" s="1"/>
  <c r="K3" i="5" s="1"/>
  <c r="F10" i="18"/>
  <c r="F12" i="18"/>
  <c r="G8" i="18"/>
  <c r="H3" i="5"/>
  <c r="N3" i="5" s="1"/>
  <c r="J9" i="5"/>
  <c r="K9" i="5"/>
  <c r="M9" i="5" s="1"/>
  <c r="H11" i="5"/>
  <c r="N11" i="5"/>
  <c r="H7" i="5"/>
  <c r="N7" i="5" s="1"/>
  <c r="E16" i="1"/>
  <c r="F16" i="1" s="1"/>
  <c r="E15" i="1"/>
  <c r="F15" i="1" s="1"/>
  <c r="E14" i="1"/>
  <c r="F14" i="1" s="1"/>
  <c r="E13" i="1"/>
  <c r="F13" i="1" s="1"/>
  <c r="E12" i="1"/>
  <c r="F12" i="1" s="1"/>
  <c r="E11" i="1"/>
  <c r="F11" i="1" s="1"/>
  <c r="E10" i="1"/>
  <c r="F10" i="1" s="1"/>
  <c r="E9" i="1"/>
  <c r="F9" i="1" s="1"/>
  <c r="E8" i="1"/>
  <c r="F8" i="1" s="1"/>
  <c r="E7" i="1"/>
  <c r="F7" i="1" s="1"/>
  <c r="D7" i="15" s="1"/>
  <c r="A9" i="2"/>
  <c r="A15" i="2"/>
  <c r="A21" i="2"/>
  <c r="G7" i="17"/>
  <c r="G27" i="17" s="1"/>
  <c r="G11" i="18"/>
  <c r="H11" i="18"/>
  <c r="G7" i="18"/>
  <c r="A7" i="2"/>
  <c r="G9" i="18"/>
  <c r="G27" i="18" s="1"/>
  <c r="F9" i="18"/>
  <c r="H9" i="18"/>
  <c r="E27" i="18"/>
  <c r="C8" i="14"/>
  <c r="F27" i="17"/>
  <c r="D7" i="14" s="1"/>
  <c r="E27" i="17"/>
  <c r="C7" i="14"/>
  <c r="F7" i="2"/>
  <c r="G7" i="2"/>
  <c r="F27" i="2"/>
  <c r="G27" i="2"/>
  <c r="G41" i="2" s="1"/>
  <c r="H41" i="2" s="1"/>
  <c r="E27" i="2"/>
  <c r="C6" i="14"/>
  <c r="C11" i="14" s="1"/>
  <c r="F41" i="2"/>
  <c r="D6" i="14"/>
  <c r="D5" i="15" l="1"/>
  <c r="D13" i="15" s="1"/>
  <c r="D9" i="15"/>
  <c r="D8" i="15"/>
  <c r="D11" i="15"/>
  <c r="D10" i="15"/>
  <c r="D12" i="15"/>
  <c r="D6" i="15"/>
  <c r="D8" i="14"/>
  <c r="F41" i="18"/>
  <c r="H7" i="14"/>
  <c r="F7" i="14"/>
  <c r="F6" i="14"/>
  <c r="H27" i="17"/>
  <c r="G41" i="17"/>
  <c r="H41" i="17" s="1"/>
  <c r="E7" i="14"/>
  <c r="G41" i="18"/>
  <c r="H41" i="18" s="1"/>
  <c r="E8" i="14"/>
  <c r="H27" i="18"/>
  <c r="D11" i="14"/>
  <c r="H27" i="2"/>
  <c r="E6" i="14"/>
  <c r="J4" i="5"/>
  <c r="K4" i="5" s="1"/>
  <c r="M4" i="5" s="1"/>
  <c r="N12" i="7"/>
  <c r="I8" i="7"/>
  <c r="O8" i="7" s="1"/>
  <c r="L8" i="7"/>
  <c r="N4" i="7"/>
  <c r="H11" i="7"/>
  <c r="L12" i="7"/>
  <c r="J9" i="7"/>
  <c r="I9" i="7"/>
  <c r="J6" i="7"/>
  <c r="K13" i="7"/>
  <c r="O13" i="7" s="1"/>
  <c r="N13" i="7"/>
  <c r="L5" i="7"/>
  <c r="L2" i="7" s="1"/>
  <c r="J10" i="7"/>
  <c r="H10" i="7"/>
  <c r="O10" i="7" s="1"/>
  <c r="J18" i="5"/>
  <c r="K18" i="5" s="1"/>
  <c r="M18" i="5" s="1"/>
  <c r="K7" i="7"/>
  <c r="O7" i="7" s="1"/>
  <c r="H6" i="14"/>
  <c r="J24" i="5"/>
  <c r="K24" i="5" s="1"/>
  <c r="M24" i="5" s="1"/>
  <c r="H24" i="5"/>
  <c r="N24" i="5" s="1"/>
  <c r="G11" i="14"/>
  <c r="F41" i="17"/>
  <c r="J8" i="7"/>
  <c r="J11" i="7"/>
  <c r="J4" i="7"/>
  <c r="N7" i="7"/>
  <c r="K12" i="7"/>
  <c r="O12" i="7" s="1"/>
  <c r="L7" i="7"/>
  <c r="N11" i="7"/>
  <c r="H9" i="7"/>
  <c r="I6" i="7"/>
  <c r="H6" i="7"/>
  <c r="L13" i="7"/>
  <c r="K5" i="7"/>
  <c r="K2" i="7" s="1"/>
  <c r="I5" i="7"/>
  <c r="I2" i="7" s="1"/>
  <c r="N10" i="7"/>
  <c r="J26" i="5"/>
  <c r="K26" i="5" s="1"/>
  <c r="H26" i="5"/>
  <c r="N26" i="5" s="1"/>
  <c r="H5" i="5"/>
  <c r="N5" i="5" s="1"/>
  <c r="O5" i="7" l="1"/>
  <c r="O9" i="7"/>
  <c r="O11" i="7"/>
  <c r="D12" i="21"/>
  <c r="F12" i="21" s="1"/>
  <c r="G12" i="21" s="1"/>
  <c r="H12" i="21" s="1"/>
  <c r="D8" i="21"/>
  <c r="F8" i="21" s="1"/>
  <c r="G8" i="21" s="1"/>
  <c r="H8" i="21" s="1"/>
  <c r="D4" i="21"/>
  <c r="F4" i="21" s="1"/>
  <c r="G4" i="21" s="1"/>
  <c r="H4" i="21" s="1"/>
  <c r="D11" i="21"/>
  <c r="F11" i="21" s="1"/>
  <c r="G11" i="21" s="1"/>
  <c r="H11" i="21" s="1"/>
  <c r="D7" i="21"/>
  <c r="F7" i="21" s="1"/>
  <c r="G7" i="21" s="1"/>
  <c r="H7" i="21" s="1"/>
  <c r="D10" i="21"/>
  <c r="F10" i="21" s="1"/>
  <c r="G10" i="21" s="1"/>
  <c r="H10" i="21" s="1"/>
  <c r="D6" i="21"/>
  <c r="F6" i="21" s="1"/>
  <c r="G6" i="21" s="1"/>
  <c r="H6" i="21" s="1"/>
  <c r="D3" i="21"/>
  <c r="F3" i="21" s="1"/>
  <c r="G3" i="21" s="1"/>
  <c r="H3" i="21" s="1"/>
  <c r="D13" i="21"/>
  <c r="F13" i="21" s="1"/>
  <c r="G13" i="21" s="1"/>
  <c r="H13" i="21" s="1"/>
  <c r="D9" i="21"/>
  <c r="F9" i="21" s="1"/>
  <c r="G9" i="21" s="1"/>
  <c r="H9" i="21" s="1"/>
  <c r="D5" i="21"/>
  <c r="F5" i="21" s="1"/>
  <c r="G5" i="21" s="1"/>
  <c r="H5" i="21" s="1"/>
  <c r="H11" i="14"/>
  <c r="J2" i="7"/>
  <c r="N2" i="7"/>
  <c r="O6" i="7"/>
  <c r="H2" i="7"/>
  <c r="E11" i="14"/>
  <c r="F11" i="14" s="1"/>
  <c r="O4" i="7"/>
  <c r="O2" i="7" s="1"/>
  <c r="H8" i="14"/>
  <c r="F8" i="14"/>
  <c r="D22" i="15"/>
  <c r="D14" i="15"/>
  <c r="D16" i="15" s="1"/>
  <c r="D15"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Vinit Kini</author>
  </authors>
  <commentList>
    <comment ref="E4" authorId="0" shapeId="0" xr:uid="{00000000-0006-0000-0600-000001000000}">
      <text>
        <r>
          <rPr>
            <b/>
            <sz val="9"/>
            <color indexed="81"/>
            <rFont val="Tahoma"/>
            <family val="2"/>
          </rPr>
          <t>Vinit Kini:</t>
        </r>
        <r>
          <rPr>
            <sz val="9"/>
            <color indexed="81"/>
            <rFont val="Tahoma"/>
            <family val="2"/>
          </rPr>
          <t xml:space="preserve">
Modify the percentages here as you may wish</t>
        </r>
      </text>
    </comment>
    <comment ref="C21" authorId="0" shapeId="0" xr:uid="{00000000-0006-0000-0600-000002000000}">
      <text>
        <r>
          <rPr>
            <b/>
            <sz val="9"/>
            <color indexed="81"/>
            <rFont val="Tahoma"/>
            <family val="2"/>
          </rPr>
          <t>Vinit Kini:</t>
        </r>
        <r>
          <rPr>
            <sz val="9"/>
            <color indexed="81"/>
            <rFont val="Tahoma"/>
            <family val="2"/>
          </rPr>
          <t xml:space="preserve">
Add Row Above this row, if required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Vinit Kini</author>
  </authors>
  <commentList>
    <comment ref="B12" authorId="0" shapeId="0" xr:uid="{00000000-0006-0000-0700-000001000000}">
      <text>
        <r>
          <rPr>
            <b/>
            <sz val="9"/>
            <color indexed="81"/>
            <rFont val="Tahoma"/>
            <family val="2"/>
          </rPr>
          <t>Vinit Kini: Start here</t>
        </r>
        <r>
          <rPr>
            <sz val="9"/>
            <color indexed="81"/>
            <rFont val="Tahoma"/>
            <family val="2"/>
          </rPr>
          <t xml:space="preserve">
</t>
        </r>
      </text>
    </comment>
    <comment ref="B25" authorId="0" shapeId="0" xr:uid="{00000000-0006-0000-0700-000002000000}">
      <text>
        <r>
          <rPr>
            <b/>
            <sz val="9"/>
            <color indexed="81"/>
            <rFont val="Tahoma"/>
            <family val="2"/>
          </rPr>
          <t>Vinit Kini:</t>
        </r>
        <r>
          <rPr>
            <sz val="9"/>
            <color indexed="81"/>
            <rFont val="Tahoma"/>
            <family val="2"/>
          </rPr>
          <t xml:space="preserve">
Add rows above this row is required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Vinit Kini</author>
  </authors>
  <commentList>
    <comment ref="B39" authorId="0" shapeId="0" xr:uid="{00000000-0006-0000-0800-000001000000}">
      <text>
        <r>
          <rPr>
            <b/>
            <sz val="9"/>
            <color indexed="81"/>
            <rFont val="Tahoma"/>
            <family val="2"/>
          </rPr>
          <t>Vinit Kini:</t>
        </r>
        <r>
          <rPr>
            <sz val="9"/>
            <color indexed="81"/>
            <rFont val="Tahoma"/>
            <family val="2"/>
          </rPr>
          <t xml:space="preserve">
Insert Line Above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Vinit Kini</author>
  </authors>
  <commentList>
    <comment ref="B39" authorId="0" shapeId="0" xr:uid="{00000000-0006-0000-0900-000001000000}">
      <text>
        <r>
          <rPr>
            <b/>
            <sz val="9"/>
            <color indexed="81"/>
            <rFont val="Tahoma"/>
            <family val="2"/>
          </rPr>
          <t>Vinit Kini:</t>
        </r>
        <r>
          <rPr>
            <sz val="9"/>
            <color indexed="81"/>
            <rFont val="Tahoma"/>
            <family val="2"/>
          </rPr>
          <t xml:space="preserve">
Insert Line Above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Vinit Kini</author>
  </authors>
  <commentList>
    <comment ref="B39" authorId="0" shapeId="0" xr:uid="{00000000-0006-0000-0A00-000001000000}">
      <text>
        <r>
          <rPr>
            <b/>
            <sz val="9"/>
            <color indexed="81"/>
            <rFont val="Tahoma"/>
            <family val="2"/>
          </rPr>
          <t>Vinit Kini:</t>
        </r>
        <r>
          <rPr>
            <sz val="9"/>
            <color indexed="81"/>
            <rFont val="Tahoma"/>
            <family val="2"/>
          </rPr>
          <t xml:space="preserve">
Insert Line Above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Vinit Kini</author>
  </authors>
  <commentList>
    <comment ref="B39" authorId="0" shapeId="0" xr:uid="{00000000-0006-0000-0C00-000001000000}">
      <text>
        <r>
          <rPr>
            <b/>
            <sz val="9"/>
            <color indexed="81"/>
            <rFont val="Tahoma"/>
            <family val="2"/>
          </rPr>
          <t>Vinit Kini:</t>
        </r>
        <r>
          <rPr>
            <sz val="9"/>
            <color indexed="81"/>
            <rFont val="Tahoma"/>
            <family val="2"/>
          </rPr>
          <t xml:space="preserve">
Add Rows above, if required</t>
        </r>
      </text>
    </comment>
  </commentList>
</comments>
</file>

<file path=xl/sharedStrings.xml><?xml version="1.0" encoding="utf-8"?>
<sst xmlns="http://schemas.openxmlformats.org/spreadsheetml/2006/main" count="1121" uniqueCount="257">
  <si>
    <t>Resource</t>
  </si>
  <si>
    <t>No</t>
  </si>
  <si>
    <t>Margin</t>
  </si>
  <si>
    <t>Task</t>
  </si>
  <si>
    <t>Complexity</t>
  </si>
  <si>
    <t>Count</t>
  </si>
  <si>
    <t>Select Complexity</t>
  </si>
  <si>
    <t>Low</t>
  </si>
  <si>
    <t>Medium</t>
  </si>
  <si>
    <t>Complex</t>
  </si>
  <si>
    <t>Very Complex</t>
  </si>
  <si>
    <t>Client Name</t>
  </si>
  <si>
    <t>Received on</t>
  </si>
  <si>
    <t>Prepared By</t>
  </si>
  <si>
    <t>Reviewed by</t>
  </si>
  <si>
    <t>Technology</t>
  </si>
  <si>
    <t>WebCenter</t>
  </si>
  <si>
    <t>Java</t>
  </si>
  <si>
    <t>Unit of estimation</t>
  </si>
  <si>
    <t>Hours</t>
  </si>
  <si>
    <t>Days</t>
  </si>
  <si>
    <t>Months</t>
  </si>
  <si>
    <t>:</t>
  </si>
  <si>
    <t>Team Member</t>
  </si>
  <si>
    <t>Java Cons 1</t>
  </si>
  <si>
    <t>Java Cons 2</t>
  </si>
  <si>
    <t>Java Cons 3</t>
  </si>
  <si>
    <t>Java Cons 4</t>
  </si>
  <si>
    <t>Java Cons 5</t>
  </si>
  <si>
    <t>Technical writer</t>
  </si>
  <si>
    <t xml:space="preserve"> </t>
  </si>
  <si>
    <t>DotNet</t>
  </si>
  <si>
    <t>% Allocations</t>
  </si>
  <si>
    <t>Customer Master</t>
  </si>
  <si>
    <t>Reports</t>
  </si>
  <si>
    <t>Sales Order entry</t>
  </si>
  <si>
    <t>User Access Control</t>
  </si>
  <si>
    <t>Password Change</t>
  </si>
  <si>
    <t>View History</t>
  </si>
  <si>
    <t>Search Transaction</t>
  </si>
  <si>
    <t>Login</t>
  </si>
  <si>
    <t>Documentation</t>
  </si>
  <si>
    <t>Margin (%)</t>
  </si>
  <si>
    <t>Total Efforts</t>
  </si>
  <si>
    <t>Total (hrs)</t>
  </si>
  <si>
    <t xml:space="preserve"> Master</t>
  </si>
  <si>
    <t>Level</t>
  </si>
  <si>
    <t>Role</t>
  </si>
  <si>
    <t>Loaded CTC</t>
  </si>
  <si>
    <t>Site</t>
  </si>
  <si>
    <t>Infra Cost</t>
  </si>
  <si>
    <t>Loaded Cost</t>
  </si>
  <si>
    <t>Rate pm</t>
  </si>
  <si>
    <t>Rate pd</t>
  </si>
  <si>
    <t>CTC pm</t>
  </si>
  <si>
    <t>Onsite</t>
  </si>
  <si>
    <t>Approx Distribution</t>
  </si>
  <si>
    <t>Weighted Rate</t>
  </si>
  <si>
    <t>2-3 yrs</t>
  </si>
  <si>
    <t>0-2 yrs</t>
  </si>
  <si>
    <t>3-4 yrs</t>
  </si>
  <si>
    <t>4-6 yrs</t>
  </si>
  <si>
    <t>8+ yrs</t>
  </si>
  <si>
    <t>Training</t>
  </si>
  <si>
    <t>Currency of Revenue</t>
  </si>
  <si>
    <t>Tech Role</t>
  </si>
  <si>
    <t>INR</t>
  </si>
  <si>
    <t>Cost pd</t>
  </si>
  <si>
    <t>Phase</t>
  </si>
  <si>
    <t>Requirement Analysis</t>
  </si>
  <si>
    <t>Solution Design</t>
  </si>
  <si>
    <t>Integrated Testing</t>
  </si>
  <si>
    <t>Acceptance Testing</t>
  </si>
  <si>
    <t>Go-Live</t>
  </si>
  <si>
    <t>Post Go-Live Support</t>
  </si>
  <si>
    <t>Per Diem</t>
  </si>
  <si>
    <t>Visa</t>
  </si>
  <si>
    <t>WebCenter Lead</t>
  </si>
  <si>
    <t>Install &amp; Configuration</t>
  </si>
  <si>
    <t>Project Management</t>
  </si>
  <si>
    <t>Contingency</t>
  </si>
  <si>
    <t>Implementation Total</t>
  </si>
  <si>
    <t>Overall %</t>
  </si>
  <si>
    <t>Weeks</t>
  </si>
  <si>
    <t>Others Total</t>
  </si>
  <si>
    <t>Non Testing</t>
  </si>
  <si>
    <t>PO Testing</t>
  </si>
  <si>
    <t>Handover</t>
  </si>
  <si>
    <t>Client :</t>
  </si>
  <si>
    <t>Requirement Name :</t>
  </si>
  <si>
    <t>Project Name</t>
  </si>
  <si>
    <t>Project Name :</t>
  </si>
  <si>
    <t>Detailed Development Efforts</t>
  </si>
  <si>
    <t>Expenses</t>
  </si>
  <si>
    <t>Local Conveyance</t>
  </si>
  <si>
    <t>Expense Type</t>
  </si>
  <si>
    <t>Units</t>
  </si>
  <si>
    <t>Unit Cost</t>
  </si>
  <si>
    <t>Amount</t>
  </si>
  <si>
    <t>Consulting Total</t>
  </si>
  <si>
    <t>Expense Total</t>
  </si>
  <si>
    <t xml:space="preserve">Offshore </t>
  </si>
  <si>
    <t>Night Shift Allowance</t>
  </si>
  <si>
    <t>Client Site Costing</t>
  </si>
  <si>
    <t>OnSite Costing</t>
  </si>
  <si>
    <t>Offshore Costing</t>
  </si>
  <si>
    <t>Offshore</t>
  </si>
  <si>
    <t>Net Margin</t>
  </si>
  <si>
    <t>Client Site</t>
  </si>
  <si>
    <t>Overall</t>
  </si>
  <si>
    <t>Week 5</t>
  </si>
  <si>
    <t>Week 6</t>
  </si>
  <si>
    <t>Week 1</t>
  </si>
  <si>
    <t>Week 2</t>
  </si>
  <si>
    <t>Week 3</t>
  </si>
  <si>
    <t>Week 4</t>
  </si>
  <si>
    <t>Project Lifecycle Total</t>
  </si>
  <si>
    <t>* All efforts are in (days)</t>
  </si>
  <si>
    <t>Efforts</t>
  </si>
  <si>
    <r>
      <t xml:space="preserve">Open </t>
    </r>
    <r>
      <rPr>
        <b/>
        <i/>
        <sz val="10"/>
        <color theme="1"/>
        <rFont val="Calibri"/>
        <family val="2"/>
        <scheme val="minor"/>
      </rPr>
      <t>Summary</t>
    </r>
    <r>
      <rPr>
        <sz val="10"/>
        <color theme="1"/>
        <rFont val="Calibri"/>
        <family val="2"/>
        <scheme val="minor"/>
      </rPr>
      <t xml:space="preserve"> sheet, enter project/requirement details</t>
    </r>
  </si>
  <si>
    <t>Java Jr Developer</t>
  </si>
  <si>
    <t>Java Sr Developer</t>
  </si>
  <si>
    <t>Java Tech Lead</t>
  </si>
  <si>
    <t>Java PM</t>
  </si>
  <si>
    <t>WebCenter Jr Developer (0-2 yrs)</t>
  </si>
  <si>
    <t>WebCenter Developer (2-3 yrs)</t>
  </si>
  <si>
    <t>WebCenter Sr Developer (3-4 yrs)</t>
  </si>
  <si>
    <t>WebCenter Sr Developer (3-4 yrs - Ons)</t>
  </si>
  <si>
    <t>WebCenter Project Manager (Ofs)</t>
  </si>
  <si>
    <t>WebCenter Project Manager (Ons)</t>
  </si>
  <si>
    <t>WebCenter Web Designer</t>
  </si>
  <si>
    <t>WebCenter Trainers (Ons)</t>
  </si>
  <si>
    <t>WebCenter Test Lead</t>
  </si>
  <si>
    <t>WebCenter Tester</t>
  </si>
  <si>
    <t>WebCenter Tech Writer</t>
  </si>
  <si>
    <t>DotNet Jr Developer</t>
  </si>
  <si>
    <t>DotNet Sr Developer</t>
  </si>
  <si>
    <t>DotNet Tech Lead</t>
  </si>
  <si>
    <t>DotNet PM</t>
  </si>
  <si>
    <t>EBS Jr Developer</t>
  </si>
  <si>
    <t>EBS Sr Developer</t>
  </si>
  <si>
    <t>EBS Tech Lead</t>
  </si>
  <si>
    <t>EBS PM</t>
  </si>
  <si>
    <t>PL/SQL</t>
  </si>
  <si>
    <t>Profiles</t>
  </si>
  <si>
    <t>WebCenter Trainers</t>
  </si>
  <si>
    <t>WebCenter Project Manager</t>
  </si>
  <si>
    <t>Air Fare</t>
  </si>
  <si>
    <t>Hotel</t>
  </si>
  <si>
    <t>WebCenter/Java/DotNet/PL/SQL/EBS</t>
  </si>
  <si>
    <t>&lt;Client/Prospect Name&gt;</t>
  </si>
  <si>
    <t>&lt;Project/Requirement &gt;</t>
  </si>
  <si>
    <t>&lt;Received Date&gt;</t>
  </si>
  <si>
    <t>&lt;Prepared By&gt;</t>
  </si>
  <si>
    <t>&lt;Reviewed By&gt;</t>
  </si>
  <si>
    <t>Proposed Schedule of</t>
  </si>
  <si>
    <r>
      <t xml:space="preserve">Open </t>
    </r>
    <r>
      <rPr>
        <b/>
        <i/>
        <sz val="10"/>
        <color theme="1"/>
        <rFont val="Calibri"/>
        <family val="2"/>
        <scheme val="minor"/>
      </rPr>
      <t>Summary Efforts</t>
    </r>
    <r>
      <rPr>
        <sz val="10"/>
        <color theme="1"/>
        <rFont val="Calibri"/>
        <family val="2"/>
        <scheme val="minor"/>
      </rPr>
      <t xml:space="preserve"> sheet,  
In Left table, add any other efforts that need to be included in the estimation other than standard activities
In the right table, distribute efforts across onsite, offshore or client site as the case may be </t>
    </r>
  </si>
  <si>
    <r>
      <t xml:space="preserve">Open </t>
    </r>
    <r>
      <rPr>
        <b/>
        <i/>
        <sz val="10"/>
        <color theme="1"/>
        <rFont val="Calibri"/>
        <family val="2"/>
        <scheme val="minor"/>
      </rPr>
      <t>Resource Loading</t>
    </r>
    <r>
      <rPr>
        <sz val="10"/>
        <color theme="1"/>
        <rFont val="Calibri"/>
        <family val="2"/>
        <scheme val="minor"/>
      </rPr>
      <t xml:space="preserve"> sheet, 
Enter the proposed schedule of X Weeks, click on </t>
    </r>
    <r>
      <rPr>
        <b/>
        <sz val="10"/>
        <color theme="1"/>
        <rFont val="Calibri"/>
        <family val="2"/>
        <scheme val="minor"/>
      </rPr>
      <t>Re-Plan</t>
    </r>
    <r>
      <rPr>
        <sz val="10"/>
        <color theme="1"/>
        <rFont val="Calibri"/>
        <family val="2"/>
        <scheme val="minor"/>
      </rPr>
      <t xml:space="preserve"> button so the weeks will be aligned as per the proposed schedule
Select the phase, site and resource that will be required to execute the tasks of the phase across the duration of the project, you can refer the phase and site effort allocation in the table above.
On completion of resource allocation across phases, Click on </t>
    </r>
    <r>
      <rPr>
        <b/>
        <sz val="10"/>
        <color theme="1"/>
        <rFont val="Calibri"/>
        <family val="2"/>
        <scheme val="minor"/>
      </rPr>
      <t xml:space="preserve">Calculate </t>
    </r>
    <r>
      <rPr>
        <sz val="10"/>
        <color theme="1"/>
        <rFont val="Calibri"/>
        <family val="2"/>
        <scheme val="minor"/>
      </rPr>
      <t xml:space="preserve">button, this will
- Validate the effort allocation done as per the plan, any over allocations will get highlighted in RED
- Populate the roles in site specific Costing i.e Offshore Costing, Onsite Costing, Client Site Costing
- Populate Consolidated Efforts for a role at a site
- Populate Day Rate from RateCard sheet
- Populate Cost from RateCard sheet
- Total Cost and Revenue will get calulated and Margin per role role derived </t>
    </r>
  </si>
  <si>
    <r>
      <t xml:space="preserve">Open </t>
    </r>
    <r>
      <rPr>
        <b/>
        <i/>
        <sz val="10"/>
        <color theme="1"/>
        <rFont val="Calibri"/>
        <family val="2"/>
        <scheme val="minor"/>
      </rPr>
      <t>Detailed Dev Efforts</t>
    </r>
    <r>
      <rPr>
        <sz val="10"/>
        <color theme="1"/>
        <rFont val="Calibri"/>
        <family val="2"/>
        <scheme val="minor"/>
      </rPr>
      <t xml:space="preserve"> Sheet, enter task, select the complexity and units of the requirements
Cross check the effort computed for that line item, it can be adjusted if the efforts can be rationalised</t>
    </r>
  </si>
  <si>
    <t>In case there are expenses which have to be incurred and are Non-Billable, include them in the Expenses section under specific head</t>
  </si>
  <si>
    <t>Eventually, Margin is computed for the site</t>
  </si>
  <si>
    <r>
      <t xml:space="preserve">Open </t>
    </r>
    <r>
      <rPr>
        <b/>
        <sz val="10"/>
        <color theme="1"/>
        <rFont val="Calibri"/>
        <family val="2"/>
        <scheme val="minor"/>
      </rPr>
      <t>Final Estimates</t>
    </r>
    <r>
      <rPr>
        <sz val="10"/>
        <color theme="1"/>
        <rFont val="Calibri"/>
        <family val="2"/>
        <scheme val="minor"/>
      </rPr>
      <t xml:space="preserve"> sheet, you can view the sitewise efforts/Rate/Cost/Expense and Proposed Overall Margin</t>
    </r>
  </si>
  <si>
    <t>WBS estimation guidelines</t>
  </si>
  <si>
    <t>General Application</t>
  </si>
  <si>
    <t>Criteria</t>
  </si>
  <si>
    <t>Coverage</t>
  </si>
  <si>
    <t>Simple</t>
  </si>
  <si>
    <t>Considerations /assumptions</t>
  </si>
  <si>
    <t>Input fields OR GUI controls on the screen</t>
  </si>
  <si>
    <t>Placing of controls on the screen
Alignments and applying appropriate styles, themes etc.</t>
  </si>
  <si>
    <t>No Client side validation</t>
  </si>
  <si>
    <t>Upto 20 Controls</t>
  </si>
  <si>
    <t>21 to 50 Controls</t>
  </si>
  <si>
    <t>51 and above Controls</t>
  </si>
  <si>
    <t>1. Normal controls are considered.
2. Client side validations which are system provided are considered.  eg. max, length, data type check, mandatory field validation etc.
3. Details about the type of fields and required validations are known
4. Required styles are already defined and available.</t>
  </si>
  <si>
    <t>With Client side validation</t>
  </si>
  <si>
    <t>Upto 10 Controls</t>
  </si>
  <si>
    <t>11 to 25 Controls</t>
  </si>
  <si>
    <t>26 and above Controls</t>
  </si>
  <si>
    <t>Implemention of Business Logic</t>
  </si>
  <si>
    <t>Application Architecture</t>
  </si>
  <si>
    <t>Desktop Application</t>
  </si>
  <si>
    <t>Two-tier [Client Server]</t>
  </si>
  <si>
    <t>Three-Tier</t>
  </si>
  <si>
    <t xml:space="preserve">Backend validations </t>
  </si>
  <si>
    <t>Code written in code behind, Database (DB), Business Access Layer (BAL), Business Logic (BL) to take care of backend validations</t>
  </si>
  <si>
    <t>Validations which needs to be checked against some business rules or against some data.</t>
  </si>
  <si>
    <t>Simple validations</t>
  </si>
  <si>
    <t>Simple checks eg. Existence check, Matching values etc.</t>
  </si>
  <si>
    <t>Upto 20</t>
  </si>
  <si>
    <t>21 to 40</t>
  </si>
  <si>
    <t>41 to 60</t>
  </si>
  <si>
    <t>Any unit more than Complex limit will be taken as a separate task</t>
  </si>
  <si>
    <t>Medium validations</t>
  </si>
  <si>
    <t>Checks which involve joins, simple business logic etc.</t>
  </si>
  <si>
    <t>Upto 10</t>
  </si>
  <si>
    <t>11 to 20</t>
  </si>
  <si>
    <t>21 to 30</t>
  </si>
  <si>
    <t>Complex validations</t>
  </si>
  <si>
    <t>Derived, calculation based complex checks, complex business logic, complex operations on file system interactions etc</t>
  </si>
  <si>
    <t>Upto 5</t>
  </si>
  <si>
    <t>6 to 10</t>
  </si>
  <si>
    <t>11 to 15</t>
  </si>
  <si>
    <t>Backend operations</t>
  </si>
  <si>
    <t>Backend operations including the code written in code behind files, BAL, DAL and Database procedures level etc.</t>
  </si>
  <si>
    <t>Simple checks and operations for modify, add, delete</t>
  </si>
  <si>
    <t>Complex joins and multiple operations</t>
  </si>
  <si>
    <t>Complex business logic, extensive use of XML, XSL, XSLT, complex transactions handling etc</t>
  </si>
  <si>
    <t>Options to render and submit the screen</t>
  </si>
  <si>
    <t>Screen operation modes - view, edit, add, delete etc.</t>
  </si>
  <si>
    <t xml:space="preserve">View mode </t>
  </si>
  <si>
    <t>View and edit modes</t>
  </si>
  <si>
    <t>View, edit, add, delete modes</t>
  </si>
  <si>
    <t>Value Added Services (Email / SMS  etc)</t>
  </si>
  <si>
    <t>Email component can be considered as a separate work item. Here integration with email component is considered.</t>
  </si>
  <si>
    <t>Simple SMTP mail 
2-3 email triggering events</t>
  </si>
  <si>
    <t>Template driven emails, bulk mails
2-3 email triggering events</t>
  </si>
  <si>
    <t>Email queue and email storage, logging, tracking etc
2-3 email triggering events</t>
  </si>
  <si>
    <t>Interface with external application/system / Payment Gateway / IVRS etc</t>
  </si>
  <si>
    <t>Interface can be considered as a separate work item. Here integration with interface component is considered. 
For outbound interface: data collection which will be provided to interface component.
For inbound interface: data utilization after receiving from interface component.</t>
  </si>
  <si>
    <t>1 - 2 integration points</t>
  </si>
  <si>
    <t>3-5 integration points</t>
  </si>
  <si>
    <t>6-10 integration points</t>
  </si>
  <si>
    <t>For an interface, if separate business logic is required to be implemented, then Interface component can be a separate work item. 
E.g. If in an outbound interface, data received from an external interface is in csv file/format. 
This can be considered as -
a) Interface component to take care of data extraction &amp; transformation logic.
b) Some other work item will receive this data and use it as required. 
Here a) can be considered as a separate work item and integration point is considered in this criteria.</t>
  </si>
  <si>
    <t>1 Simple Task</t>
  </si>
  <si>
    <t>8 Person  Hrs</t>
  </si>
  <si>
    <t>CP</t>
  </si>
  <si>
    <t>1 Medium Task</t>
  </si>
  <si>
    <t>24 Person  Hrs</t>
  </si>
  <si>
    <t>1 Complex Task</t>
  </si>
  <si>
    <t>40 Person  Hrs</t>
  </si>
  <si>
    <t>1 CP= 1 PD</t>
  </si>
  <si>
    <t xml:space="preserve">Effort Distribution Mix in Effort Estimation </t>
  </si>
  <si>
    <t xml:space="preserve">Project Phase </t>
  </si>
  <si>
    <t>Effort distribution Matrix</t>
  </si>
  <si>
    <t>Typical</t>
  </si>
  <si>
    <r>
      <t xml:space="preserve">Requirements Analysis </t>
    </r>
    <r>
      <rPr>
        <i/>
        <sz val="10"/>
        <rFont val="Arial"/>
        <family val="2"/>
      </rPr>
      <t xml:space="preserve"> </t>
    </r>
  </si>
  <si>
    <t xml:space="preserve">Design </t>
  </si>
  <si>
    <t xml:space="preserve">Development and Unit testing </t>
  </si>
  <si>
    <r>
      <t xml:space="preserve">Testing and Rework </t>
    </r>
    <r>
      <rPr>
        <i/>
        <sz val="10"/>
        <rFont val="Arial"/>
        <family val="2"/>
      </rPr>
      <t xml:space="preserve"> </t>
    </r>
  </si>
  <si>
    <r>
      <t>Project Management</t>
    </r>
    <r>
      <rPr>
        <i/>
        <sz val="10"/>
        <rFont val="Arial"/>
        <family val="2"/>
      </rPr>
      <t xml:space="preserve">  </t>
    </r>
  </si>
  <si>
    <t>Total Cumulative</t>
  </si>
  <si>
    <t>Layout / Presentation</t>
  </si>
  <si>
    <t>Report layout complexity and Output fields representing data from the tables/static information</t>
  </si>
  <si>
    <t xml:space="preserve"> - Simple layout
 - Output fields ranging from 5 to 10</t>
  </si>
  <si>
    <t xml:space="preserve"> - Average layout presenting data grouping, summary sections, simple conditional display logic
 - Output fields ranging from 11 to 20
 - Calculated fields ranging from 0 to 2</t>
  </si>
  <si>
    <t xml:space="preserve"> - Complex layout presenting data grouping and hierarchical information, conditional display, aggregations, complex conditional display logic
 - Output fields ranging from 21 to 30
 - Calculated fields ranging from 3 to 7</t>
  </si>
  <si>
    <t>Complexity of data fetch logic</t>
  </si>
  <si>
    <t xml:space="preserve">Queries complexity / No. of tables referred in the query </t>
  </si>
  <si>
    <t>Simple query interacting with 3 to 5 tables, few business rules with simple data fetch logic</t>
  </si>
  <si>
    <t>Average query interacting with  6 to 8 tables and presenting joins</t>
  </si>
  <si>
    <t>Complex query interacting with 9 to 12 tables and presenting complex joins / calculations</t>
  </si>
  <si>
    <t>Deal Value</t>
  </si>
  <si>
    <t>Contribution Margin %</t>
  </si>
  <si>
    <t>Cost (A)</t>
  </si>
  <si>
    <t>Expected Margin % (B)</t>
  </si>
  <si>
    <t>Total of phase(s)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</si>
</sst>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 * #,##0.00_ ;_ * \-#,##0.00_ ;_ * &quot;-&quot;??_ ;_ @_ "/>
    <numFmt numFmtId="165" formatCode="_ * #,##0_ ;_ * \-#,##0_ ;_ * &quot;-&quot;??_ ;_ @_ "/>
    <numFmt numFmtId="166" formatCode="0.0%"/>
  </numFmts>
  <fonts count="22" x14ac:knownFonts="1">
    <font>
      <sz val="11"/>
      <color theme="1"/>
      <name val="Calibri"/>
      <family val="2"/>
      <scheme val="minor"/>
    </font>
    <font>
      <sz val="11"/>
      <color theme="1"/>
      <name val="Calibri"/>
      <family val="2"/>
      <scheme val="minor"/>
    </font>
    <font>
      <b/>
      <sz val="11"/>
      <color theme="1"/>
      <name val="Calibri"/>
      <family val="2"/>
      <scheme val="minor"/>
    </font>
    <font>
      <b/>
      <i/>
      <sz val="11"/>
      <color theme="1"/>
      <name val="Calibri"/>
      <family val="2"/>
      <scheme val="minor"/>
    </font>
    <font>
      <i/>
      <sz val="11"/>
      <color theme="1"/>
      <name val="Calibri"/>
      <family val="2"/>
      <scheme val="minor"/>
    </font>
    <font>
      <sz val="9"/>
      <color indexed="81"/>
      <name val="Tahoma"/>
      <family val="2"/>
    </font>
    <font>
      <b/>
      <sz val="9"/>
      <color indexed="81"/>
      <name val="Tahoma"/>
      <family val="2"/>
    </font>
    <font>
      <b/>
      <i/>
      <sz val="16"/>
      <color theme="1"/>
      <name val="Calibri"/>
      <family val="2"/>
      <scheme val="minor"/>
    </font>
    <font>
      <b/>
      <i/>
      <sz val="14"/>
      <color theme="1"/>
      <name val="Calibri"/>
      <family val="2"/>
      <scheme val="minor"/>
    </font>
    <font>
      <sz val="10"/>
      <color theme="1"/>
      <name val="Calibri"/>
      <family val="2"/>
      <scheme val="minor"/>
    </font>
    <font>
      <b/>
      <i/>
      <sz val="10"/>
      <color theme="1"/>
      <name val="Calibri"/>
      <family val="2"/>
      <scheme val="minor"/>
    </font>
    <font>
      <b/>
      <sz val="10"/>
      <color theme="1"/>
      <name val="Calibri"/>
      <family val="2"/>
      <scheme val="minor"/>
    </font>
    <font>
      <sz val="10"/>
      <name val="Arial"/>
      <family val="2"/>
    </font>
    <font>
      <sz val="8"/>
      <name val="Arial"/>
      <family val="2"/>
    </font>
    <font>
      <b/>
      <sz val="8"/>
      <color indexed="9"/>
      <name val="Arial"/>
      <family val="2"/>
    </font>
    <font>
      <b/>
      <sz val="8"/>
      <name val="Arial"/>
      <family val="2"/>
    </font>
    <font>
      <b/>
      <sz val="14"/>
      <name val="Arial"/>
      <family val="2"/>
    </font>
    <font>
      <b/>
      <sz val="10"/>
      <name val="Arial"/>
      <family val="2"/>
    </font>
    <font>
      <i/>
      <sz val="10"/>
      <name val="Arial"/>
      <family val="2"/>
    </font>
    <font>
      <b/>
      <sz val="10"/>
      <color indexed="9"/>
      <name val="Arial"/>
      <family val="2"/>
    </font>
    <font>
      <sz val="11"/>
      <color rgb="FF000000"/>
      <name val="Calibri"/>
      <family val="2"/>
    </font>
    <font>
      <b/>
      <sz val="12"/>
      <name val="Times New Roman"/>
      <family val="1"/>
    </font>
  </fonts>
  <fills count="11">
    <fill>
      <patternFill patternType="none"/>
    </fill>
    <fill>
      <patternFill patternType="gray125"/>
    </fill>
    <fill>
      <patternFill patternType="solid">
        <fgColor theme="2" tint="-9.9978637043366805E-2"/>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indexed="23"/>
        <bgColor indexed="64"/>
      </patternFill>
    </fill>
    <fill>
      <patternFill patternType="solid">
        <fgColor indexed="22"/>
        <bgColor indexed="64"/>
      </patternFill>
    </fill>
    <fill>
      <patternFill patternType="solid">
        <fgColor indexed="10"/>
        <bgColor indexed="64"/>
      </patternFill>
    </fill>
    <fill>
      <patternFill patternType="solid">
        <fgColor theme="0" tint="-0.24997711111789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164" fontId="1" fillId="0" borderId="0" applyFont="0" applyFill="0" applyBorder="0" applyAlignment="0" applyProtection="0"/>
    <xf numFmtId="44" fontId="1" fillId="0" borderId="0" applyFont="0" applyFill="0" applyBorder="0" applyAlignment="0" applyProtection="0"/>
    <xf numFmtId="0" fontId="12" fillId="0" borderId="0"/>
  </cellStyleXfs>
  <cellXfs count="125">
    <xf numFmtId="0" fontId="0" fillId="0" borderId="0" xfId="0"/>
    <xf numFmtId="0" fontId="0" fillId="0" borderId="1" xfId="0" applyBorder="1"/>
    <xf numFmtId="0" fontId="2" fillId="0" borderId="1" xfId="0" applyFont="1" applyBorder="1"/>
    <xf numFmtId="0" fontId="2" fillId="0" borderId="0" xfId="0" applyFont="1"/>
    <xf numFmtId="15" fontId="0" fillId="0" borderId="1" xfId="0" applyNumberFormat="1" applyBorder="1"/>
    <xf numFmtId="0" fontId="3" fillId="0" borderId="1" xfId="0" applyFont="1" applyBorder="1"/>
    <xf numFmtId="0" fontId="3" fillId="2" borderId="1" xfId="0" applyFont="1" applyFill="1" applyBorder="1"/>
    <xf numFmtId="0" fontId="0" fillId="2" borderId="1" xfId="0" applyFill="1" applyBorder="1"/>
    <xf numFmtId="0" fontId="4" fillId="0" borderId="1" xfId="0" applyFont="1" applyBorder="1"/>
    <xf numFmtId="0" fontId="0" fillId="0" borderId="0" xfId="0" applyFill="1" applyBorder="1"/>
    <xf numFmtId="1" fontId="0" fillId="0" borderId="0" xfId="0" applyNumberFormat="1" applyFill="1" applyBorder="1"/>
    <xf numFmtId="0" fontId="0" fillId="0" borderId="0" xfId="0" applyFill="1"/>
    <xf numFmtId="1" fontId="0" fillId="0" borderId="0" xfId="0" applyNumberFormat="1" applyFill="1"/>
    <xf numFmtId="0" fontId="3" fillId="2" borderId="1" xfId="0" applyFont="1" applyFill="1" applyBorder="1" applyAlignment="1">
      <alignment wrapText="1"/>
    </xf>
    <xf numFmtId="0" fontId="3" fillId="0" borderId="1" xfId="0" applyFont="1" applyBorder="1" applyAlignment="1">
      <alignment wrapText="1"/>
    </xf>
    <xf numFmtId="0" fontId="0" fillId="0" borderId="0" xfId="0" applyBorder="1"/>
    <xf numFmtId="0" fontId="0" fillId="0" borderId="0" xfId="0" applyAlignment="1">
      <alignment wrapText="1"/>
    </xf>
    <xf numFmtId="0" fontId="0" fillId="0" borderId="1" xfId="0" applyBorder="1" applyAlignment="1">
      <alignment wrapText="1"/>
    </xf>
    <xf numFmtId="0" fontId="3" fillId="0" borderId="0" xfId="0" applyFont="1"/>
    <xf numFmtId="0" fontId="2" fillId="0" borderId="1" xfId="0" applyFont="1" applyFill="1" applyBorder="1"/>
    <xf numFmtId="0" fontId="0" fillId="0" borderId="1" xfId="0" applyFill="1" applyBorder="1"/>
    <xf numFmtId="0" fontId="0" fillId="3" borderId="9" xfId="0" applyFill="1" applyBorder="1"/>
    <xf numFmtId="0" fontId="0" fillId="3" borderId="8" xfId="0" applyFill="1" applyBorder="1"/>
    <xf numFmtId="1" fontId="0" fillId="3" borderId="8" xfId="0" applyNumberFormat="1" applyFill="1" applyBorder="1"/>
    <xf numFmtId="165" fontId="0" fillId="3" borderId="8" xfId="1" applyNumberFormat="1" applyFont="1" applyFill="1" applyBorder="1"/>
    <xf numFmtId="9" fontId="0" fillId="3" borderId="8" xfId="0" applyNumberFormat="1" applyFill="1" applyBorder="1"/>
    <xf numFmtId="1" fontId="0" fillId="0" borderId="1" xfId="0" applyNumberFormat="1" applyFill="1" applyBorder="1"/>
    <xf numFmtId="165" fontId="0" fillId="0" borderId="1" xfId="1" applyNumberFormat="1" applyFont="1" applyFill="1" applyBorder="1"/>
    <xf numFmtId="0" fontId="0" fillId="0" borderId="10" xfId="0" applyFill="1" applyBorder="1"/>
    <xf numFmtId="165" fontId="2" fillId="0" borderId="1" xfId="1" applyNumberFormat="1" applyFont="1" applyFill="1" applyBorder="1"/>
    <xf numFmtId="1" fontId="2" fillId="0" borderId="1" xfId="0" applyNumberFormat="1" applyFont="1" applyFill="1" applyBorder="1"/>
    <xf numFmtId="10" fontId="0" fillId="0" borderId="1" xfId="0" applyNumberFormat="1" applyBorder="1"/>
    <xf numFmtId="10" fontId="2" fillId="0" borderId="1" xfId="0" applyNumberFormat="1" applyFont="1" applyBorder="1"/>
    <xf numFmtId="0" fontId="3" fillId="4" borderId="1" xfId="0" applyFont="1" applyFill="1" applyBorder="1"/>
    <xf numFmtId="0" fontId="0" fillId="0" borderId="0" xfId="0" applyAlignment="1"/>
    <xf numFmtId="0" fontId="0" fillId="4" borderId="0" xfId="0" applyFill="1"/>
    <xf numFmtId="0" fontId="2" fillId="4" borderId="0" xfId="0" applyFont="1" applyFill="1"/>
    <xf numFmtId="0" fontId="3" fillId="0" borderId="1" xfId="0" applyFont="1" applyFill="1" applyBorder="1"/>
    <xf numFmtId="0" fontId="0" fillId="5" borderId="1" xfId="0" applyFill="1" applyBorder="1"/>
    <xf numFmtId="0" fontId="2" fillId="5" borderId="1" xfId="0" applyFont="1" applyFill="1" applyBorder="1"/>
    <xf numFmtId="0" fontId="2" fillId="6" borderId="2" xfId="0" applyFont="1" applyFill="1" applyBorder="1" applyAlignment="1">
      <alignment wrapText="1"/>
    </xf>
    <xf numFmtId="0" fontId="2" fillId="6" borderId="4" xfId="0" applyFont="1" applyFill="1" applyBorder="1" applyAlignment="1">
      <alignment wrapText="1"/>
    </xf>
    <xf numFmtId="0" fontId="0" fillId="0" borderId="3" xfId="0" applyFill="1" applyBorder="1"/>
    <xf numFmtId="9" fontId="0" fillId="0" borderId="1" xfId="0" applyNumberFormat="1" applyFill="1" applyBorder="1"/>
    <xf numFmtId="0" fontId="2" fillId="0" borderId="0" xfId="0" applyFont="1" applyFill="1"/>
    <xf numFmtId="0" fontId="2" fillId="4" borderId="1" xfId="0" applyFont="1" applyFill="1" applyBorder="1"/>
    <xf numFmtId="0" fontId="2" fillId="3" borderId="8" xfId="0" applyFont="1" applyFill="1" applyBorder="1"/>
    <xf numFmtId="1" fontId="2" fillId="3" borderId="8" xfId="0" applyNumberFormat="1" applyFont="1" applyFill="1" applyBorder="1"/>
    <xf numFmtId="165" fontId="2" fillId="3" borderId="8" xfId="1" applyNumberFormat="1" applyFont="1" applyFill="1" applyBorder="1"/>
    <xf numFmtId="9" fontId="2" fillId="3" borderId="8" xfId="0" applyNumberFormat="1" applyFont="1" applyFill="1" applyBorder="1"/>
    <xf numFmtId="0" fontId="2" fillId="6" borderId="1" xfId="0" applyFont="1" applyFill="1" applyBorder="1" applyAlignment="1">
      <alignment wrapText="1"/>
    </xf>
    <xf numFmtId="1" fontId="2" fillId="4" borderId="1" xfId="0" applyNumberFormat="1" applyFont="1" applyFill="1" applyBorder="1"/>
    <xf numFmtId="9" fontId="2" fillId="4" borderId="1" xfId="0" applyNumberFormat="1" applyFont="1" applyFill="1" applyBorder="1"/>
    <xf numFmtId="165" fontId="2" fillId="4" borderId="1" xfId="1" applyNumberFormat="1" applyFont="1" applyFill="1" applyBorder="1"/>
    <xf numFmtId="0" fontId="3" fillId="0" borderId="0" xfId="0" applyFont="1" applyFill="1" applyBorder="1"/>
    <xf numFmtId="0" fontId="0" fillId="0" borderId="1" xfId="0" applyFont="1" applyBorder="1"/>
    <xf numFmtId="0" fontId="0" fillId="0" borderId="5" xfId="0" applyBorder="1"/>
    <xf numFmtId="166" fontId="0" fillId="0" borderId="0" xfId="0" applyNumberFormat="1"/>
    <xf numFmtId="0" fontId="0" fillId="6" borderId="1" xfId="0" applyFill="1" applyBorder="1"/>
    <xf numFmtId="1" fontId="0" fillId="6" borderId="1" xfId="0" applyNumberFormat="1" applyFill="1" applyBorder="1"/>
    <xf numFmtId="10" fontId="0" fillId="6" borderId="1" xfId="0" applyNumberFormat="1" applyFill="1" applyBorder="1"/>
    <xf numFmtId="164" fontId="0" fillId="6" borderId="1" xfId="1" applyFont="1" applyFill="1" applyBorder="1"/>
    <xf numFmtId="0" fontId="0" fillId="0" borderId="1" xfId="0" applyFont="1" applyFill="1" applyBorder="1"/>
    <xf numFmtId="0" fontId="2" fillId="4" borderId="5" xfId="0" applyFont="1" applyFill="1" applyBorder="1"/>
    <xf numFmtId="165" fontId="0" fillId="6" borderId="1" xfId="1" applyNumberFormat="1" applyFont="1" applyFill="1" applyBorder="1"/>
    <xf numFmtId="0" fontId="9" fillId="0" borderId="1" xfId="0" applyFont="1" applyBorder="1"/>
    <xf numFmtId="0" fontId="2" fillId="0" borderId="1" xfId="0" applyFont="1" applyBorder="1" applyAlignment="1">
      <alignment horizontal="right"/>
    </xf>
    <xf numFmtId="165" fontId="0" fillId="0" borderId="1" xfId="1" applyNumberFormat="1" applyFont="1" applyBorder="1"/>
    <xf numFmtId="9" fontId="0" fillId="0" borderId="1" xfId="0" applyNumberFormat="1" applyBorder="1"/>
    <xf numFmtId="0" fontId="9" fillId="0" borderId="1" xfId="0" applyFont="1" applyBorder="1" applyAlignment="1">
      <alignment wrapText="1"/>
    </xf>
    <xf numFmtId="0" fontId="2" fillId="2" borderId="1" xfId="0" applyFont="1" applyFill="1" applyBorder="1"/>
    <xf numFmtId="0" fontId="0" fillId="2" borderId="1" xfId="0" applyFont="1" applyFill="1" applyBorder="1"/>
    <xf numFmtId="0" fontId="13" fillId="0" borderId="1" xfId="3" applyFont="1" applyBorder="1" applyAlignment="1">
      <alignment vertical="top" wrapText="1"/>
    </xf>
    <xf numFmtId="0" fontId="15" fillId="0" borderId="1" xfId="3" applyFont="1" applyBorder="1" applyAlignment="1">
      <alignment vertical="top" wrapText="1"/>
    </xf>
    <xf numFmtId="0" fontId="13" fillId="0" borderId="0" xfId="3" applyFont="1" applyAlignment="1">
      <alignment vertical="top" wrapText="1"/>
    </xf>
    <xf numFmtId="0" fontId="14" fillId="7" borderId="1" xfId="3" applyFont="1" applyFill="1" applyBorder="1" applyAlignment="1">
      <alignment vertical="top" wrapText="1"/>
    </xf>
    <xf numFmtId="0" fontId="14" fillId="7" borderId="8" xfId="3" applyFont="1" applyFill="1" applyBorder="1" applyAlignment="1">
      <alignment vertical="top" wrapText="1"/>
    </xf>
    <xf numFmtId="0" fontId="13" fillId="0" borderId="7" xfId="3" applyFont="1" applyBorder="1" applyAlignment="1">
      <alignment vertical="center" wrapText="1"/>
    </xf>
    <xf numFmtId="0" fontId="13" fillId="0" borderId="1" xfId="3" applyFont="1" applyBorder="1" applyAlignment="1">
      <alignment vertical="center" wrapText="1"/>
    </xf>
    <xf numFmtId="0" fontId="13" fillId="0" borderId="8" xfId="3" applyFont="1" applyBorder="1" applyAlignment="1">
      <alignment horizontal="center" vertical="top" wrapText="1"/>
    </xf>
    <xf numFmtId="0" fontId="13" fillId="0" borderId="17" xfId="3" applyFont="1" applyBorder="1" applyAlignment="1">
      <alignment vertical="top" wrapText="1"/>
    </xf>
    <xf numFmtId="0" fontId="13" fillId="0" borderId="7" xfId="3" applyFont="1" applyBorder="1" applyAlignment="1">
      <alignment vertical="top" wrapText="1"/>
    </xf>
    <xf numFmtId="0" fontId="13" fillId="0" borderId="7" xfId="3" applyFont="1" applyBorder="1" applyAlignment="1">
      <alignment horizontal="right" vertical="top" wrapText="1"/>
    </xf>
    <xf numFmtId="16" fontId="13" fillId="0" borderId="1" xfId="3" applyNumberFormat="1" applyFont="1" applyBorder="1" applyAlignment="1">
      <alignment vertical="top" wrapText="1"/>
    </xf>
    <xf numFmtId="0" fontId="17" fillId="8" borderId="1" xfId="3" applyFont="1" applyFill="1" applyBorder="1" applyAlignment="1">
      <alignment horizontal="center" vertical="center" wrapText="1"/>
    </xf>
    <xf numFmtId="0" fontId="17" fillId="8" borderId="1" xfId="3" applyFont="1" applyFill="1" applyBorder="1" applyAlignment="1">
      <alignment horizontal="center"/>
    </xf>
    <xf numFmtId="0" fontId="12" fillId="0" borderId="1" xfId="3" applyFont="1" applyFill="1" applyBorder="1" applyAlignment="1" applyProtection="1">
      <alignment horizontal="left"/>
      <protection locked="0"/>
    </xf>
    <xf numFmtId="0" fontId="12" fillId="0" borderId="1" xfId="3" applyBorder="1" applyAlignment="1">
      <alignment horizontal="center"/>
    </xf>
    <xf numFmtId="0" fontId="17" fillId="0" borderId="1" xfId="3" applyFont="1" applyFill="1" applyBorder="1"/>
    <xf numFmtId="0" fontId="17" fillId="0" borderId="1" xfId="3" applyFont="1" applyFill="1" applyBorder="1" applyAlignment="1">
      <alignment horizontal="center"/>
    </xf>
    <xf numFmtId="0" fontId="12" fillId="0" borderId="1" xfId="3" applyBorder="1" applyAlignment="1">
      <alignment vertical="top" wrapText="1"/>
    </xf>
    <xf numFmtId="0" fontId="19" fillId="7" borderId="1" xfId="3" applyFont="1" applyFill="1" applyBorder="1" applyAlignment="1">
      <alignment vertical="top" wrapText="1"/>
    </xf>
    <xf numFmtId="0" fontId="17" fillId="0" borderId="1" xfId="3" applyFont="1" applyBorder="1" applyAlignment="1">
      <alignment vertical="top" wrapText="1"/>
    </xf>
    <xf numFmtId="0" fontId="12" fillId="0" borderId="0" xfId="3" applyAlignment="1">
      <alignment vertical="top"/>
    </xf>
    <xf numFmtId="0" fontId="12" fillId="0" borderId="1" xfId="3" applyNumberFormat="1" applyBorder="1" applyAlignment="1">
      <alignment vertical="top" wrapText="1"/>
    </xf>
    <xf numFmtId="0" fontId="12" fillId="0" borderId="1" xfId="3" applyBorder="1" applyAlignment="1">
      <alignment vertical="top"/>
    </xf>
    <xf numFmtId="0" fontId="0" fillId="9" borderId="1" xfId="0" applyFont="1" applyFill="1" applyBorder="1"/>
    <xf numFmtId="0" fontId="0" fillId="8" borderId="1" xfId="0" applyFont="1" applyFill="1" applyBorder="1"/>
    <xf numFmtId="0" fontId="2" fillId="10" borderId="1" xfId="0" applyFont="1" applyFill="1" applyBorder="1"/>
    <xf numFmtId="165" fontId="0" fillId="0" borderId="1" xfId="0" applyNumberFormat="1" applyBorder="1"/>
    <xf numFmtId="165" fontId="0" fillId="0" borderId="15" xfId="0" applyNumberFormat="1" applyFill="1" applyBorder="1"/>
    <xf numFmtId="0" fontId="2" fillId="10" borderId="1" xfId="0" applyFont="1" applyFill="1" applyBorder="1" applyAlignment="1">
      <alignment wrapText="1"/>
    </xf>
    <xf numFmtId="164" fontId="0" fillId="0" borderId="1" xfId="0" applyNumberFormat="1" applyBorder="1"/>
    <xf numFmtId="0" fontId="21" fillId="0" borderId="0" xfId="3" applyFont="1" applyAlignment="1">
      <alignment vertical="top"/>
    </xf>
    <xf numFmtId="0" fontId="17" fillId="8" borderId="1" xfId="3" applyFont="1" applyFill="1" applyBorder="1" applyAlignment="1">
      <alignment horizontal="left" vertical="top" wrapText="1"/>
    </xf>
    <xf numFmtId="0" fontId="14" fillId="7" borderId="5" xfId="3" applyFont="1" applyFill="1" applyBorder="1" applyAlignment="1">
      <alignment vertical="top" wrapText="1"/>
    </xf>
    <xf numFmtId="0" fontId="13" fillId="0" borderId="7" xfId="3" applyFont="1" applyBorder="1" applyAlignment="1">
      <alignment vertical="top" wrapText="1"/>
    </xf>
    <xf numFmtId="0" fontId="13" fillId="0" borderId="11" xfId="3" applyFont="1" applyBorder="1" applyAlignment="1">
      <alignment horizontal="center" vertical="center" wrapText="1"/>
    </xf>
    <xf numFmtId="0" fontId="13" fillId="0" borderId="14" xfId="3" applyFont="1" applyBorder="1" applyAlignment="1">
      <alignment horizontal="center" vertical="center" wrapText="1"/>
    </xf>
    <xf numFmtId="0" fontId="13" fillId="0" borderId="16" xfId="3" applyFont="1" applyBorder="1" applyAlignment="1">
      <alignment horizontal="center" vertical="center" wrapText="1"/>
    </xf>
    <xf numFmtId="0" fontId="13" fillId="0" borderId="8" xfId="3" applyFont="1" applyBorder="1" applyAlignment="1">
      <alignment horizontal="left" vertical="center" wrapText="1"/>
    </xf>
    <xf numFmtId="0" fontId="13" fillId="0" borderId="15" xfId="3" applyFont="1" applyBorder="1" applyAlignment="1">
      <alignment horizontal="left" vertical="center" wrapText="1"/>
    </xf>
    <xf numFmtId="0" fontId="13" fillId="0" borderId="17" xfId="3" applyFont="1" applyBorder="1" applyAlignment="1">
      <alignment horizontal="left" vertical="center" wrapText="1"/>
    </xf>
    <xf numFmtId="0" fontId="13" fillId="0" borderId="8" xfId="3" applyFont="1" applyBorder="1" applyAlignment="1">
      <alignment horizontal="center" vertical="center" wrapText="1"/>
    </xf>
    <xf numFmtId="0" fontId="13" fillId="0" borderId="15" xfId="3" applyFont="1" applyBorder="1" applyAlignment="1">
      <alignment horizontal="center" vertical="center" wrapText="1"/>
    </xf>
    <xf numFmtId="0" fontId="13" fillId="0" borderId="17" xfId="3" applyFont="1" applyBorder="1" applyAlignment="1">
      <alignment horizontal="center" vertical="center" wrapText="1"/>
    </xf>
    <xf numFmtId="0" fontId="16" fillId="0" borderId="0" xfId="3" applyFont="1" applyAlignment="1">
      <alignment horizontal="center" vertical="top" wrapText="1"/>
    </xf>
    <xf numFmtId="0" fontId="7" fillId="0" borderId="5" xfId="0" applyFont="1" applyBorder="1" applyAlignment="1">
      <alignment horizontal="center" wrapText="1"/>
    </xf>
    <xf numFmtId="0" fontId="7" fillId="0" borderId="6" xfId="0" applyFont="1" applyBorder="1" applyAlignment="1">
      <alignment horizontal="center" wrapText="1"/>
    </xf>
    <xf numFmtId="0" fontId="7" fillId="0" borderId="7" xfId="0" applyFont="1" applyBorder="1" applyAlignment="1">
      <alignment horizontal="center" wrapText="1"/>
    </xf>
    <xf numFmtId="0" fontId="0" fillId="0" borderId="13" xfId="0" applyBorder="1" applyAlignment="1">
      <alignment horizontal="center"/>
    </xf>
    <xf numFmtId="0" fontId="2" fillId="4" borderId="11" xfId="0" applyFont="1" applyFill="1" applyBorder="1" applyAlignment="1">
      <alignment horizontal="left"/>
    </xf>
    <xf numFmtId="0" fontId="2" fillId="4" borderId="12" xfId="0" applyFont="1" applyFill="1" applyBorder="1" applyAlignment="1">
      <alignment horizontal="left"/>
    </xf>
    <xf numFmtId="0" fontId="2" fillId="4" borderId="10" xfId="0" applyFont="1" applyFill="1" applyBorder="1" applyAlignment="1">
      <alignment horizontal="left"/>
    </xf>
    <xf numFmtId="0" fontId="8" fillId="0" borderId="0" xfId="0" applyFont="1" applyAlignment="1">
      <alignment horizontal="center"/>
    </xf>
  </cellXfs>
  <cellStyles count="4">
    <cellStyle name="Comma" xfId="1" builtinId="3"/>
    <cellStyle name="Currency 2" xfId="2" xr:uid="{00000000-0005-0000-0000-000001000000}"/>
    <cellStyle name="Normal" xfId="0" builtinId="0"/>
    <cellStyle name="Normal 2" xfId="3" xr:uid="{00000000-0005-0000-0000-000003000000}"/>
  </cellStyles>
  <dxfs count="4">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8</xdr:row>
          <xdr:rowOff>171450</xdr:rowOff>
        </xdr:from>
        <xdr:to>
          <xdr:col>6</xdr:col>
          <xdr:colOff>457200</xdr:colOff>
          <xdr:row>10</xdr:row>
          <xdr:rowOff>19050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7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1266825</xdr:colOff>
          <xdr:row>9</xdr:row>
          <xdr:rowOff>0</xdr:rowOff>
        </xdr:from>
        <xdr:to>
          <xdr:col>4</xdr:col>
          <xdr:colOff>1104900</xdr:colOff>
          <xdr:row>10</xdr:row>
          <xdr:rowOff>9525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7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Re-Plan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9.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vmlDrawing" Target="../drawings/vmlDrawing10.v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vmlDrawing" Target="../drawings/vmlDrawing12.v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vmlDrawing" Target="../drawings/vmlDrawing14.v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printerSettings" Target="../printerSettings/printerSettings13.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B2:C21"/>
  <sheetViews>
    <sheetView showGridLines="0" tabSelected="1" zoomScaleNormal="100" workbookViewId="0">
      <selection activeCell="C2" sqref="C2"/>
    </sheetView>
  </sheetViews>
  <sheetFormatPr defaultRowHeight="15" x14ac:dyDescent="0.25"/>
  <cols>
    <col min="1" max="1" width="4" customWidth="1"/>
    <col min="3" max="3" width="115.5703125" style="16" customWidth="1"/>
    <col min="4" max="4" width="3.85546875" customWidth="1"/>
  </cols>
  <sheetData>
    <row r="2" spans="2:3" x14ac:dyDescent="0.25">
      <c r="B2" s="65">
        <v>1</v>
      </c>
      <c r="C2" s="69" t="s">
        <v>119</v>
      </c>
    </row>
    <row r="3" spans="2:3" ht="26.25" x14ac:dyDescent="0.25">
      <c r="B3" s="65">
        <v>2</v>
      </c>
      <c r="C3" s="69" t="s">
        <v>158</v>
      </c>
    </row>
    <row r="4" spans="2:3" ht="39" x14ac:dyDescent="0.25">
      <c r="B4" s="65">
        <v>3</v>
      </c>
      <c r="C4" s="69" t="s">
        <v>156</v>
      </c>
    </row>
    <row r="5" spans="2:3" ht="141" x14ac:dyDescent="0.25">
      <c r="B5" s="65">
        <v>4</v>
      </c>
      <c r="C5" s="69" t="s">
        <v>157</v>
      </c>
    </row>
    <row r="6" spans="2:3" x14ac:dyDescent="0.25">
      <c r="B6" s="65">
        <v>5</v>
      </c>
      <c r="C6" s="69" t="s">
        <v>159</v>
      </c>
    </row>
    <row r="7" spans="2:3" x14ac:dyDescent="0.25">
      <c r="B7" s="65">
        <v>6</v>
      </c>
      <c r="C7" s="69" t="s">
        <v>160</v>
      </c>
    </row>
    <row r="8" spans="2:3" x14ac:dyDescent="0.25">
      <c r="B8" s="65">
        <v>7</v>
      </c>
      <c r="C8" s="69" t="s">
        <v>161</v>
      </c>
    </row>
    <row r="9" spans="2:3" x14ac:dyDescent="0.25">
      <c r="B9" s="65"/>
      <c r="C9" s="69"/>
    </row>
    <row r="10" spans="2:3" x14ac:dyDescent="0.25">
      <c r="B10" s="65"/>
      <c r="C10" s="69"/>
    </row>
    <row r="11" spans="2:3" x14ac:dyDescent="0.25">
      <c r="B11" s="65"/>
      <c r="C11" s="69"/>
    </row>
    <row r="12" spans="2:3" x14ac:dyDescent="0.25">
      <c r="B12" s="65"/>
      <c r="C12" s="69"/>
    </row>
    <row r="13" spans="2:3" x14ac:dyDescent="0.25">
      <c r="B13" s="65"/>
      <c r="C13" s="69"/>
    </row>
    <row r="14" spans="2:3" x14ac:dyDescent="0.25">
      <c r="B14" s="65"/>
      <c r="C14" s="69"/>
    </row>
    <row r="15" spans="2:3" x14ac:dyDescent="0.25">
      <c r="B15" s="65"/>
      <c r="C15" s="69"/>
    </row>
    <row r="16" spans="2:3" x14ac:dyDescent="0.25">
      <c r="B16" s="65"/>
      <c r="C16" s="69"/>
    </row>
    <row r="17" spans="2:3" x14ac:dyDescent="0.25">
      <c r="B17" s="65"/>
      <c r="C17" s="69"/>
    </row>
    <row r="18" spans="2:3" x14ac:dyDescent="0.25">
      <c r="B18" s="65"/>
      <c r="C18" s="69"/>
    </row>
    <row r="19" spans="2:3" x14ac:dyDescent="0.25">
      <c r="B19" s="65"/>
      <c r="C19" s="69"/>
    </row>
    <row r="20" spans="2:3" x14ac:dyDescent="0.25">
      <c r="B20" s="65"/>
      <c r="C20" s="69"/>
    </row>
    <row r="21" spans="2:3" x14ac:dyDescent="0.25">
      <c r="B21" s="65"/>
      <c r="C21" s="69"/>
    </row>
  </sheetData>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2:G42"/>
  <sheetViews>
    <sheetView zoomScaleNormal="100" workbookViewId="0">
      <selection activeCell="B6" sqref="B6"/>
    </sheetView>
  </sheetViews>
  <sheetFormatPr defaultRowHeight="11.25" x14ac:dyDescent="0.25"/>
  <cols>
    <col min="1" max="1" width="6.140625" style="74" customWidth="1"/>
    <col min="2" max="2" width="34.140625" style="74" bestFit="1" customWidth="1"/>
    <col min="3" max="3" width="39.28515625" style="74" customWidth="1"/>
    <col min="4" max="4" width="21.140625" style="74" customWidth="1"/>
    <col min="5" max="6" width="19.85546875" style="74" customWidth="1"/>
    <col min="7" max="7" width="49.85546875" style="74" customWidth="1"/>
    <col min="8" max="256" width="9.140625" style="74"/>
    <col min="257" max="257" width="6.140625" style="74" customWidth="1"/>
    <col min="258" max="258" width="34.140625" style="74" bestFit="1" customWidth="1"/>
    <col min="259" max="259" width="39.28515625" style="74" customWidth="1"/>
    <col min="260" max="260" width="21.140625" style="74" customWidth="1"/>
    <col min="261" max="262" width="19.85546875" style="74" customWidth="1"/>
    <col min="263" max="263" width="49.85546875" style="74" customWidth="1"/>
    <col min="264" max="512" width="9.140625" style="74"/>
    <col min="513" max="513" width="6.140625" style="74" customWidth="1"/>
    <col min="514" max="514" width="34.140625" style="74" bestFit="1" customWidth="1"/>
    <col min="515" max="515" width="39.28515625" style="74" customWidth="1"/>
    <col min="516" max="516" width="21.140625" style="74" customWidth="1"/>
    <col min="517" max="518" width="19.85546875" style="74" customWidth="1"/>
    <col min="519" max="519" width="49.85546875" style="74" customWidth="1"/>
    <col min="520" max="768" width="9.140625" style="74"/>
    <col min="769" max="769" width="6.140625" style="74" customWidth="1"/>
    <col min="770" max="770" width="34.140625" style="74" bestFit="1" customWidth="1"/>
    <col min="771" max="771" width="39.28515625" style="74" customWidth="1"/>
    <col min="772" max="772" width="21.140625" style="74" customWidth="1"/>
    <col min="773" max="774" width="19.85546875" style="74" customWidth="1"/>
    <col min="775" max="775" width="49.85546875" style="74" customWidth="1"/>
    <col min="776" max="1024" width="9.140625" style="74"/>
    <col min="1025" max="1025" width="6.140625" style="74" customWidth="1"/>
    <col min="1026" max="1026" width="34.140625" style="74" bestFit="1" customWidth="1"/>
    <col min="1027" max="1027" width="39.28515625" style="74" customWidth="1"/>
    <col min="1028" max="1028" width="21.140625" style="74" customWidth="1"/>
    <col min="1029" max="1030" width="19.85546875" style="74" customWidth="1"/>
    <col min="1031" max="1031" width="49.85546875" style="74" customWidth="1"/>
    <col min="1032" max="1280" width="9.140625" style="74"/>
    <col min="1281" max="1281" width="6.140625" style="74" customWidth="1"/>
    <col min="1282" max="1282" width="34.140625" style="74" bestFit="1" customWidth="1"/>
    <col min="1283" max="1283" width="39.28515625" style="74" customWidth="1"/>
    <col min="1284" max="1284" width="21.140625" style="74" customWidth="1"/>
    <col min="1285" max="1286" width="19.85546875" style="74" customWidth="1"/>
    <col min="1287" max="1287" width="49.85546875" style="74" customWidth="1"/>
    <col min="1288" max="1536" width="9.140625" style="74"/>
    <col min="1537" max="1537" width="6.140625" style="74" customWidth="1"/>
    <col min="1538" max="1538" width="34.140625" style="74" bestFit="1" customWidth="1"/>
    <col min="1539" max="1539" width="39.28515625" style="74" customWidth="1"/>
    <col min="1540" max="1540" width="21.140625" style="74" customWidth="1"/>
    <col min="1541" max="1542" width="19.85546875" style="74" customWidth="1"/>
    <col min="1543" max="1543" width="49.85546875" style="74" customWidth="1"/>
    <col min="1544" max="1792" width="9.140625" style="74"/>
    <col min="1793" max="1793" width="6.140625" style="74" customWidth="1"/>
    <col min="1794" max="1794" width="34.140625" style="74" bestFit="1" customWidth="1"/>
    <col min="1795" max="1795" width="39.28515625" style="74" customWidth="1"/>
    <col min="1796" max="1796" width="21.140625" style="74" customWidth="1"/>
    <col min="1797" max="1798" width="19.85546875" style="74" customWidth="1"/>
    <col min="1799" max="1799" width="49.85546875" style="74" customWidth="1"/>
    <col min="1800" max="2048" width="9.140625" style="74"/>
    <col min="2049" max="2049" width="6.140625" style="74" customWidth="1"/>
    <col min="2050" max="2050" width="34.140625" style="74" bestFit="1" customWidth="1"/>
    <col min="2051" max="2051" width="39.28515625" style="74" customWidth="1"/>
    <col min="2052" max="2052" width="21.140625" style="74" customWidth="1"/>
    <col min="2053" max="2054" width="19.85546875" style="74" customWidth="1"/>
    <col min="2055" max="2055" width="49.85546875" style="74" customWidth="1"/>
    <col min="2056" max="2304" width="9.140625" style="74"/>
    <col min="2305" max="2305" width="6.140625" style="74" customWidth="1"/>
    <col min="2306" max="2306" width="34.140625" style="74" bestFit="1" customWidth="1"/>
    <col min="2307" max="2307" width="39.28515625" style="74" customWidth="1"/>
    <col min="2308" max="2308" width="21.140625" style="74" customWidth="1"/>
    <col min="2309" max="2310" width="19.85546875" style="74" customWidth="1"/>
    <col min="2311" max="2311" width="49.85546875" style="74" customWidth="1"/>
    <col min="2312" max="2560" width="9.140625" style="74"/>
    <col min="2561" max="2561" width="6.140625" style="74" customWidth="1"/>
    <col min="2562" max="2562" width="34.140625" style="74" bestFit="1" customWidth="1"/>
    <col min="2563" max="2563" width="39.28515625" style="74" customWidth="1"/>
    <col min="2564" max="2564" width="21.140625" style="74" customWidth="1"/>
    <col min="2565" max="2566" width="19.85546875" style="74" customWidth="1"/>
    <col min="2567" max="2567" width="49.85546875" style="74" customWidth="1"/>
    <col min="2568" max="2816" width="9.140625" style="74"/>
    <col min="2817" max="2817" width="6.140625" style="74" customWidth="1"/>
    <col min="2818" max="2818" width="34.140625" style="74" bestFit="1" customWidth="1"/>
    <col min="2819" max="2819" width="39.28515625" style="74" customWidth="1"/>
    <col min="2820" max="2820" width="21.140625" style="74" customWidth="1"/>
    <col min="2821" max="2822" width="19.85546875" style="74" customWidth="1"/>
    <col min="2823" max="2823" width="49.85546875" style="74" customWidth="1"/>
    <col min="2824" max="3072" width="9.140625" style="74"/>
    <col min="3073" max="3073" width="6.140625" style="74" customWidth="1"/>
    <col min="3074" max="3074" width="34.140625" style="74" bestFit="1" customWidth="1"/>
    <col min="3075" max="3075" width="39.28515625" style="74" customWidth="1"/>
    <col min="3076" max="3076" width="21.140625" style="74" customWidth="1"/>
    <col min="3077" max="3078" width="19.85546875" style="74" customWidth="1"/>
    <col min="3079" max="3079" width="49.85546875" style="74" customWidth="1"/>
    <col min="3080" max="3328" width="9.140625" style="74"/>
    <col min="3329" max="3329" width="6.140625" style="74" customWidth="1"/>
    <col min="3330" max="3330" width="34.140625" style="74" bestFit="1" customWidth="1"/>
    <col min="3331" max="3331" width="39.28515625" style="74" customWidth="1"/>
    <col min="3332" max="3332" width="21.140625" style="74" customWidth="1"/>
    <col min="3333" max="3334" width="19.85546875" style="74" customWidth="1"/>
    <col min="3335" max="3335" width="49.85546875" style="74" customWidth="1"/>
    <col min="3336" max="3584" width="9.140625" style="74"/>
    <col min="3585" max="3585" width="6.140625" style="74" customWidth="1"/>
    <col min="3586" max="3586" width="34.140625" style="74" bestFit="1" customWidth="1"/>
    <col min="3587" max="3587" width="39.28515625" style="74" customWidth="1"/>
    <col min="3588" max="3588" width="21.140625" style="74" customWidth="1"/>
    <col min="3589" max="3590" width="19.85546875" style="74" customWidth="1"/>
    <col min="3591" max="3591" width="49.85546875" style="74" customWidth="1"/>
    <col min="3592" max="3840" width="9.140625" style="74"/>
    <col min="3841" max="3841" width="6.140625" style="74" customWidth="1"/>
    <col min="3842" max="3842" width="34.140625" style="74" bestFit="1" customWidth="1"/>
    <col min="3843" max="3843" width="39.28515625" style="74" customWidth="1"/>
    <col min="3844" max="3844" width="21.140625" style="74" customWidth="1"/>
    <col min="3845" max="3846" width="19.85546875" style="74" customWidth="1"/>
    <col min="3847" max="3847" width="49.85546875" style="74" customWidth="1"/>
    <col min="3848" max="4096" width="9.140625" style="74"/>
    <col min="4097" max="4097" width="6.140625" style="74" customWidth="1"/>
    <col min="4098" max="4098" width="34.140625" style="74" bestFit="1" customWidth="1"/>
    <col min="4099" max="4099" width="39.28515625" style="74" customWidth="1"/>
    <col min="4100" max="4100" width="21.140625" style="74" customWidth="1"/>
    <col min="4101" max="4102" width="19.85546875" style="74" customWidth="1"/>
    <col min="4103" max="4103" width="49.85546875" style="74" customWidth="1"/>
    <col min="4104" max="4352" width="9.140625" style="74"/>
    <col min="4353" max="4353" width="6.140625" style="74" customWidth="1"/>
    <col min="4354" max="4354" width="34.140625" style="74" bestFit="1" customWidth="1"/>
    <col min="4355" max="4355" width="39.28515625" style="74" customWidth="1"/>
    <col min="4356" max="4356" width="21.140625" style="74" customWidth="1"/>
    <col min="4357" max="4358" width="19.85546875" style="74" customWidth="1"/>
    <col min="4359" max="4359" width="49.85546875" style="74" customWidth="1"/>
    <col min="4360" max="4608" width="9.140625" style="74"/>
    <col min="4609" max="4609" width="6.140625" style="74" customWidth="1"/>
    <col min="4610" max="4610" width="34.140625" style="74" bestFit="1" customWidth="1"/>
    <col min="4611" max="4611" width="39.28515625" style="74" customWidth="1"/>
    <col min="4612" max="4612" width="21.140625" style="74" customWidth="1"/>
    <col min="4613" max="4614" width="19.85546875" style="74" customWidth="1"/>
    <col min="4615" max="4615" width="49.85546875" style="74" customWidth="1"/>
    <col min="4616" max="4864" width="9.140625" style="74"/>
    <col min="4865" max="4865" width="6.140625" style="74" customWidth="1"/>
    <col min="4866" max="4866" width="34.140625" style="74" bestFit="1" customWidth="1"/>
    <col min="4867" max="4867" width="39.28515625" style="74" customWidth="1"/>
    <col min="4868" max="4868" width="21.140625" style="74" customWidth="1"/>
    <col min="4869" max="4870" width="19.85546875" style="74" customWidth="1"/>
    <col min="4871" max="4871" width="49.85546875" style="74" customWidth="1"/>
    <col min="4872" max="5120" width="9.140625" style="74"/>
    <col min="5121" max="5121" width="6.140625" style="74" customWidth="1"/>
    <col min="5122" max="5122" width="34.140625" style="74" bestFit="1" customWidth="1"/>
    <col min="5123" max="5123" width="39.28515625" style="74" customWidth="1"/>
    <col min="5124" max="5124" width="21.140625" style="74" customWidth="1"/>
    <col min="5125" max="5126" width="19.85546875" style="74" customWidth="1"/>
    <col min="5127" max="5127" width="49.85546875" style="74" customWidth="1"/>
    <col min="5128" max="5376" width="9.140625" style="74"/>
    <col min="5377" max="5377" width="6.140625" style="74" customWidth="1"/>
    <col min="5378" max="5378" width="34.140625" style="74" bestFit="1" customWidth="1"/>
    <col min="5379" max="5379" width="39.28515625" style="74" customWidth="1"/>
    <col min="5380" max="5380" width="21.140625" style="74" customWidth="1"/>
    <col min="5381" max="5382" width="19.85546875" style="74" customWidth="1"/>
    <col min="5383" max="5383" width="49.85546875" style="74" customWidth="1"/>
    <col min="5384" max="5632" width="9.140625" style="74"/>
    <col min="5633" max="5633" width="6.140625" style="74" customWidth="1"/>
    <col min="5634" max="5634" width="34.140625" style="74" bestFit="1" customWidth="1"/>
    <col min="5635" max="5635" width="39.28515625" style="74" customWidth="1"/>
    <col min="5636" max="5636" width="21.140625" style="74" customWidth="1"/>
    <col min="5637" max="5638" width="19.85546875" style="74" customWidth="1"/>
    <col min="5639" max="5639" width="49.85546875" style="74" customWidth="1"/>
    <col min="5640" max="5888" width="9.140625" style="74"/>
    <col min="5889" max="5889" width="6.140625" style="74" customWidth="1"/>
    <col min="5890" max="5890" width="34.140625" style="74" bestFit="1" customWidth="1"/>
    <col min="5891" max="5891" width="39.28515625" style="74" customWidth="1"/>
    <col min="5892" max="5892" width="21.140625" style="74" customWidth="1"/>
    <col min="5893" max="5894" width="19.85546875" style="74" customWidth="1"/>
    <col min="5895" max="5895" width="49.85546875" style="74" customWidth="1"/>
    <col min="5896" max="6144" width="9.140625" style="74"/>
    <col min="6145" max="6145" width="6.140625" style="74" customWidth="1"/>
    <col min="6146" max="6146" width="34.140625" style="74" bestFit="1" customWidth="1"/>
    <col min="6147" max="6147" width="39.28515625" style="74" customWidth="1"/>
    <col min="6148" max="6148" width="21.140625" style="74" customWidth="1"/>
    <col min="6149" max="6150" width="19.85546875" style="74" customWidth="1"/>
    <col min="6151" max="6151" width="49.85546875" style="74" customWidth="1"/>
    <col min="6152" max="6400" width="9.140625" style="74"/>
    <col min="6401" max="6401" width="6.140625" style="74" customWidth="1"/>
    <col min="6402" max="6402" width="34.140625" style="74" bestFit="1" customWidth="1"/>
    <col min="6403" max="6403" width="39.28515625" style="74" customWidth="1"/>
    <col min="6404" max="6404" width="21.140625" style="74" customWidth="1"/>
    <col min="6405" max="6406" width="19.85546875" style="74" customWidth="1"/>
    <col min="6407" max="6407" width="49.85546875" style="74" customWidth="1"/>
    <col min="6408" max="6656" width="9.140625" style="74"/>
    <col min="6657" max="6657" width="6.140625" style="74" customWidth="1"/>
    <col min="6658" max="6658" width="34.140625" style="74" bestFit="1" customWidth="1"/>
    <col min="6659" max="6659" width="39.28515625" style="74" customWidth="1"/>
    <col min="6660" max="6660" width="21.140625" style="74" customWidth="1"/>
    <col min="6661" max="6662" width="19.85546875" style="74" customWidth="1"/>
    <col min="6663" max="6663" width="49.85546875" style="74" customWidth="1"/>
    <col min="6664" max="6912" width="9.140625" style="74"/>
    <col min="6913" max="6913" width="6.140625" style="74" customWidth="1"/>
    <col min="6914" max="6914" width="34.140625" style="74" bestFit="1" customWidth="1"/>
    <col min="6915" max="6915" width="39.28515625" style="74" customWidth="1"/>
    <col min="6916" max="6916" width="21.140625" style="74" customWidth="1"/>
    <col min="6917" max="6918" width="19.85546875" style="74" customWidth="1"/>
    <col min="6919" max="6919" width="49.85546875" style="74" customWidth="1"/>
    <col min="6920" max="7168" width="9.140625" style="74"/>
    <col min="7169" max="7169" width="6.140625" style="74" customWidth="1"/>
    <col min="7170" max="7170" width="34.140625" style="74" bestFit="1" customWidth="1"/>
    <col min="7171" max="7171" width="39.28515625" style="74" customWidth="1"/>
    <col min="7172" max="7172" width="21.140625" style="74" customWidth="1"/>
    <col min="7173" max="7174" width="19.85546875" style="74" customWidth="1"/>
    <col min="7175" max="7175" width="49.85546875" style="74" customWidth="1"/>
    <col min="7176" max="7424" width="9.140625" style="74"/>
    <col min="7425" max="7425" width="6.140625" style="74" customWidth="1"/>
    <col min="7426" max="7426" width="34.140625" style="74" bestFit="1" customWidth="1"/>
    <col min="7427" max="7427" width="39.28515625" style="74" customWidth="1"/>
    <col min="7428" max="7428" width="21.140625" style="74" customWidth="1"/>
    <col min="7429" max="7430" width="19.85546875" style="74" customWidth="1"/>
    <col min="7431" max="7431" width="49.85546875" style="74" customWidth="1"/>
    <col min="7432" max="7680" width="9.140625" style="74"/>
    <col min="7681" max="7681" width="6.140625" style="74" customWidth="1"/>
    <col min="7682" max="7682" width="34.140625" style="74" bestFit="1" customWidth="1"/>
    <col min="7683" max="7683" width="39.28515625" style="74" customWidth="1"/>
    <col min="7684" max="7684" width="21.140625" style="74" customWidth="1"/>
    <col min="7685" max="7686" width="19.85546875" style="74" customWidth="1"/>
    <col min="7687" max="7687" width="49.85546875" style="74" customWidth="1"/>
    <col min="7688" max="7936" width="9.140625" style="74"/>
    <col min="7937" max="7937" width="6.140625" style="74" customWidth="1"/>
    <col min="7938" max="7938" width="34.140625" style="74" bestFit="1" customWidth="1"/>
    <col min="7939" max="7939" width="39.28515625" style="74" customWidth="1"/>
    <col min="7940" max="7940" width="21.140625" style="74" customWidth="1"/>
    <col min="7941" max="7942" width="19.85546875" style="74" customWidth="1"/>
    <col min="7943" max="7943" width="49.85546875" style="74" customWidth="1"/>
    <col min="7944" max="8192" width="9.140625" style="74"/>
    <col min="8193" max="8193" width="6.140625" style="74" customWidth="1"/>
    <col min="8194" max="8194" width="34.140625" style="74" bestFit="1" customWidth="1"/>
    <col min="8195" max="8195" width="39.28515625" style="74" customWidth="1"/>
    <col min="8196" max="8196" width="21.140625" style="74" customWidth="1"/>
    <col min="8197" max="8198" width="19.85546875" style="74" customWidth="1"/>
    <col min="8199" max="8199" width="49.85546875" style="74" customWidth="1"/>
    <col min="8200" max="8448" width="9.140625" style="74"/>
    <col min="8449" max="8449" width="6.140625" style="74" customWidth="1"/>
    <col min="8450" max="8450" width="34.140625" style="74" bestFit="1" customWidth="1"/>
    <col min="8451" max="8451" width="39.28515625" style="74" customWidth="1"/>
    <col min="8452" max="8452" width="21.140625" style="74" customWidth="1"/>
    <col min="8453" max="8454" width="19.85546875" style="74" customWidth="1"/>
    <col min="8455" max="8455" width="49.85546875" style="74" customWidth="1"/>
    <col min="8456" max="8704" width="9.140625" style="74"/>
    <col min="8705" max="8705" width="6.140625" style="74" customWidth="1"/>
    <col min="8706" max="8706" width="34.140625" style="74" bestFit="1" customWidth="1"/>
    <col min="8707" max="8707" width="39.28515625" style="74" customWidth="1"/>
    <col min="8708" max="8708" width="21.140625" style="74" customWidth="1"/>
    <col min="8709" max="8710" width="19.85546875" style="74" customWidth="1"/>
    <col min="8711" max="8711" width="49.85546875" style="74" customWidth="1"/>
    <col min="8712" max="8960" width="9.140625" style="74"/>
    <col min="8961" max="8961" width="6.140625" style="74" customWidth="1"/>
    <col min="8962" max="8962" width="34.140625" style="74" bestFit="1" customWidth="1"/>
    <col min="8963" max="8963" width="39.28515625" style="74" customWidth="1"/>
    <col min="8964" max="8964" width="21.140625" style="74" customWidth="1"/>
    <col min="8965" max="8966" width="19.85546875" style="74" customWidth="1"/>
    <col min="8967" max="8967" width="49.85546875" style="74" customWidth="1"/>
    <col min="8968" max="9216" width="9.140625" style="74"/>
    <col min="9217" max="9217" width="6.140625" style="74" customWidth="1"/>
    <col min="9218" max="9218" width="34.140625" style="74" bestFit="1" customWidth="1"/>
    <col min="9219" max="9219" width="39.28515625" style="74" customWidth="1"/>
    <col min="9220" max="9220" width="21.140625" style="74" customWidth="1"/>
    <col min="9221" max="9222" width="19.85546875" style="74" customWidth="1"/>
    <col min="9223" max="9223" width="49.85546875" style="74" customWidth="1"/>
    <col min="9224" max="9472" width="9.140625" style="74"/>
    <col min="9473" max="9473" width="6.140625" style="74" customWidth="1"/>
    <col min="9474" max="9474" width="34.140625" style="74" bestFit="1" customWidth="1"/>
    <col min="9475" max="9475" width="39.28515625" style="74" customWidth="1"/>
    <col min="9476" max="9476" width="21.140625" style="74" customWidth="1"/>
    <col min="9477" max="9478" width="19.85546875" style="74" customWidth="1"/>
    <col min="9479" max="9479" width="49.85546875" style="74" customWidth="1"/>
    <col min="9480" max="9728" width="9.140625" style="74"/>
    <col min="9729" max="9729" width="6.140625" style="74" customWidth="1"/>
    <col min="9730" max="9730" width="34.140625" style="74" bestFit="1" customWidth="1"/>
    <col min="9731" max="9731" width="39.28515625" style="74" customWidth="1"/>
    <col min="9732" max="9732" width="21.140625" style="74" customWidth="1"/>
    <col min="9733" max="9734" width="19.85546875" style="74" customWidth="1"/>
    <col min="9735" max="9735" width="49.85546875" style="74" customWidth="1"/>
    <col min="9736" max="9984" width="9.140625" style="74"/>
    <col min="9985" max="9985" width="6.140625" style="74" customWidth="1"/>
    <col min="9986" max="9986" width="34.140625" style="74" bestFit="1" customWidth="1"/>
    <col min="9987" max="9987" width="39.28515625" style="74" customWidth="1"/>
    <col min="9988" max="9988" width="21.140625" style="74" customWidth="1"/>
    <col min="9989" max="9990" width="19.85546875" style="74" customWidth="1"/>
    <col min="9991" max="9991" width="49.85546875" style="74" customWidth="1"/>
    <col min="9992" max="10240" width="9.140625" style="74"/>
    <col min="10241" max="10241" width="6.140625" style="74" customWidth="1"/>
    <col min="10242" max="10242" width="34.140625" style="74" bestFit="1" customWidth="1"/>
    <col min="10243" max="10243" width="39.28515625" style="74" customWidth="1"/>
    <col min="10244" max="10244" width="21.140625" style="74" customWidth="1"/>
    <col min="10245" max="10246" width="19.85546875" style="74" customWidth="1"/>
    <col min="10247" max="10247" width="49.85546875" style="74" customWidth="1"/>
    <col min="10248" max="10496" width="9.140625" style="74"/>
    <col min="10497" max="10497" width="6.140625" style="74" customWidth="1"/>
    <col min="10498" max="10498" width="34.140625" style="74" bestFit="1" customWidth="1"/>
    <col min="10499" max="10499" width="39.28515625" style="74" customWidth="1"/>
    <col min="10500" max="10500" width="21.140625" style="74" customWidth="1"/>
    <col min="10501" max="10502" width="19.85546875" style="74" customWidth="1"/>
    <col min="10503" max="10503" width="49.85546875" style="74" customWidth="1"/>
    <col min="10504" max="10752" width="9.140625" style="74"/>
    <col min="10753" max="10753" width="6.140625" style="74" customWidth="1"/>
    <col min="10754" max="10754" width="34.140625" style="74" bestFit="1" customWidth="1"/>
    <col min="10755" max="10755" width="39.28515625" style="74" customWidth="1"/>
    <col min="10756" max="10756" width="21.140625" style="74" customWidth="1"/>
    <col min="10757" max="10758" width="19.85546875" style="74" customWidth="1"/>
    <col min="10759" max="10759" width="49.85546875" style="74" customWidth="1"/>
    <col min="10760" max="11008" width="9.140625" style="74"/>
    <col min="11009" max="11009" width="6.140625" style="74" customWidth="1"/>
    <col min="11010" max="11010" width="34.140625" style="74" bestFit="1" customWidth="1"/>
    <col min="11011" max="11011" width="39.28515625" style="74" customWidth="1"/>
    <col min="11012" max="11012" width="21.140625" style="74" customWidth="1"/>
    <col min="11013" max="11014" width="19.85546875" style="74" customWidth="1"/>
    <col min="11015" max="11015" width="49.85546875" style="74" customWidth="1"/>
    <col min="11016" max="11264" width="9.140625" style="74"/>
    <col min="11265" max="11265" width="6.140625" style="74" customWidth="1"/>
    <col min="11266" max="11266" width="34.140625" style="74" bestFit="1" customWidth="1"/>
    <col min="11267" max="11267" width="39.28515625" style="74" customWidth="1"/>
    <col min="11268" max="11268" width="21.140625" style="74" customWidth="1"/>
    <col min="11269" max="11270" width="19.85546875" style="74" customWidth="1"/>
    <col min="11271" max="11271" width="49.85546875" style="74" customWidth="1"/>
    <col min="11272" max="11520" width="9.140625" style="74"/>
    <col min="11521" max="11521" width="6.140625" style="74" customWidth="1"/>
    <col min="11522" max="11522" width="34.140625" style="74" bestFit="1" customWidth="1"/>
    <col min="11523" max="11523" width="39.28515625" style="74" customWidth="1"/>
    <col min="11524" max="11524" width="21.140625" style="74" customWidth="1"/>
    <col min="11525" max="11526" width="19.85546875" style="74" customWidth="1"/>
    <col min="11527" max="11527" width="49.85546875" style="74" customWidth="1"/>
    <col min="11528" max="11776" width="9.140625" style="74"/>
    <col min="11777" max="11777" width="6.140625" style="74" customWidth="1"/>
    <col min="11778" max="11778" width="34.140625" style="74" bestFit="1" customWidth="1"/>
    <col min="11779" max="11779" width="39.28515625" style="74" customWidth="1"/>
    <col min="11780" max="11780" width="21.140625" style="74" customWidth="1"/>
    <col min="11781" max="11782" width="19.85546875" style="74" customWidth="1"/>
    <col min="11783" max="11783" width="49.85546875" style="74" customWidth="1"/>
    <col min="11784" max="12032" width="9.140625" style="74"/>
    <col min="12033" max="12033" width="6.140625" style="74" customWidth="1"/>
    <col min="12034" max="12034" width="34.140625" style="74" bestFit="1" customWidth="1"/>
    <col min="12035" max="12035" width="39.28515625" style="74" customWidth="1"/>
    <col min="12036" max="12036" width="21.140625" style="74" customWidth="1"/>
    <col min="12037" max="12038" width="19.85546875" style="74" customWidth="1"/>
    <col min="12039" max="12039" width="49.85546875" style="74" customWidth="1"/>
    <col min="12040" max="12288" width="9.140625" style="74"/>
    <col min="12289" max="12289" width="6.140625" style="74" customWidth="1"/>
    <col min="12290" max="12290" width="34.140625" style="74" bestFit="1" customWidth="1"/>
    <col min="12291" max="12291" width="39.28515625" style="74" customWidth="1"/>
    <col min="12292" max="12292" width="21.140625" style="74" customWidth="1"/>
    <col min="12293" max="12294" width="19.85546875" style="74" customWidth="1"/>
    <col min="12295" max="12295" width="49.85546875" style="74" customWidth="1"/>
    <col min="12296" max="12544" width="9.140625" style="74"/>
    <col min="12545" max="12545" width="6.140625" style="74" customWidth="1"/>
    <col min="12546" max="12546" width="34.140625" style="74" bestFit="1" customWidth="1"/>
    <col min="12547" max="12547" width="39.28515625" style="74" customWidth="1"/>
    <col min="12548" max="12548" width="21.140625" style="74" customWidth="1"/>
    <col min="12549" max="12550" width="19.85546875" style="74" customWidth="1"/>
    <col min="12551" max="12551" width="49.85546875" style="74" customWidth="1"/>
    <col min="12552" max="12800" width="9.140625" style="74"/>
    <col min="12801" max="12801" width="6.140625" style="74" customWidth="1"/>
    <col min="12802" max="12802" width="34.140625" style="74" bestFit="1" customWidth="1"/>
    <col min="12803" max="12803" width="39.28515625" style="74" customWidth="1"/>
    <col min="12804" max="12804" width="21.140625" style="74" customWidth="1"/>
    <col min="12805" max="12806" width="19.85546875" style="74" customWidth="1"/>
    <col min="12807" max="12807" width="49.85546875" style="74" customWidth="1"/>
    <col min="12808" max="13056" width="9.140625" style="74"/>
    <col min="13057" max="13057" width="6.140625" style="74" customWidth="1"/>
    <col min="13058" max="13058" width="34.140625" style="74" bestFit="1" customWidth="1"/>
    <col min="13059" max="13059" width="39.28515625" style="74" customWidth="1"/>
    <col min="13060" max="13060" width="21.140625" style="74" customWidth="1"/>
    <col min="13061" max="13062" width="19.85546875" style="74" customWidth="1"/>
    <col min="13063" max="13063" width="49.85546875" style="74" customWidth="1"/>
    <col min="13064" max="13312" width="9.140625" style="74"/>
    <col min="13313" max="13313" width="6.140625" style="74" customWidth="1"/>
    <col min="13314" max="13314" width="34.140625" style="74" bestFit="1" customWidth="1"/>
    <col min="13315" max="13315" width="39.28515625" style="74" customWidth="1"/>
    <col min="13316" max="13316" width="21.140625" style="74" customWidth="1"/>
    <col min="13317" max="13318" width="19.85546875" style="74" customWidth="1"/>
    <col min="13319" max="13319" width="49.85546875" style="74" customWidth="1"/>
    <col min="13320" max="13568" width="9.140625" style="74"/>
    <col min="13569" max="13569" width="6.140625" style="74" customWidth="1"/>
    <col min="13570" max="13570" width="34.140625" style="74" bestFit="1" customWidth="1"/>
    <col min="13571" max="13571" width="39.28515625" style="74" customWidth="1"/>
    <col min="13572" max="13572" width="21.140625" style="74" customWidth="1"/>
    <col min="13573" max="13574" width="19.85546875" style="74" customWidth="1"/>
    <col min="13575" max="13575" width="49.85546875" style="74" customWidth="1"/>
    <col min="13576" max="13824" width="9.140625" style="74"/>
    <col min="13825" max="13825" width="6.140625" style="74" customWidth="1"/>
    <col min="13826" max="13826" width="34.140625" style="74" bestFit="1" customWidth="1"/>
    <col min="13827" max="13827" width="39.28515625" style="74" customWidth="1"/>
    <col min="13828" max="13828" width="21.140625" style="74" customWidth="1"/>
    <col min="13829" max="13830" width="19.85546875" style="74" customWidth="1"/>
    <col min="13831" max="13831" width="49.85546875" style="74" customWidth="1"/>
    <col min="13832" max="14080" width="9.140625" style="74"/>
    <col min="14081" max="14081" width="6.140625" style="74" customWidth="1"/>
    <col min="14082" max="14082" width="34.140625" style="74" bestFit="1" customWidth="1"/>
    <col min="14083" max="14083" width="39.28515625" style="74" customWidth="1"/>
    <col min="14084" max="14084" width="21.140625" style="74" customWidth="1"/>
    <col min="14085" max="14086" width="19.85546875" style="74" customWidth="1"/>
    <col min="14087" max="14087" width="49.85546875" style="74" customWidth="1"/>
    <col min="14088" max="14336" width="9.140625" style="74"/>
    <col min="14337" max="14337" width="6.140625" style="74" customWidth="1"/>
    <col min="14338" max="14338" width="34.140625" style="74" bestFit="1" customWidth="1"/>
    <col min="14339" max="14339" width="39.28515625" style="74" customWidth="1"/>
    <col min="14340" max="14340" width="21.140625" style="74" customWidth="1"/>
    <col min="14341" max="14342" width="19.85546875" style="74" customWidth="1"/>
    <col min="14343" max="14343" width="49.85546875" style="74" customWidth="1"/>
    <col min="14344" max="14592" width="9.140625" style="74"/>
    <col min="14593" max="14593" width="6.140625" style="74" customWidth="1"/>
    <col min="14594" max="14594" width="34.140625" style="74" bestFit="1" customWidth="1"/>
    <col min="14595" max="14595" width="39.28515625" style="74" customWidth="1"/>
    <col min="14596" max="14596" width="21.140625" style="74" customWidth="1"/>
    <col min="14597" max="14598" width="19.85546875" style="74" customWidth="1"/>
    <col min="14599" max="14599" width="49.85546875" style="74" customWidth="1"/>
    <col min="14600" max="14848" width="9.140625" style="74"/>
    <col min="14849" max="14849" width="6.140625" style="74" customWidth="1"/>
    <col min="14850" max="14850" width="34.140625" style="74" bestFit="1" customWidth="1"/>
    <col min="14851" max="14851" width="39.28515625" style="74" customWidth="1"/>
    <col min="14852" max="14852" width="21.140625" style="74" customWidth="1"/>
    <col min="14853" max="14854" width="19.85546875" style="74" customWidth="1"/>
    <col min="14855" max="14855" width="49.85546875" style="74" customWidth="1"/>
    <col min="14856" max="15104" width="9.140625" style="74"/>
    <col min="15105" max="15105" width="6.140625" style="74" customWidth="1"/>
    <col min="15106" max="15106" width="34.140625" style="74" bestFit="1" customWidth="1"/>
    <col min="15107" max="15107" width="39.28515625" style="74" customWidth="1"/>
    <col min="15108" max="15108" width="21.140625" style="74" customWidth="1"/>
    <col min="15109" max="15110" width="19.85546875" style="74" customWidth="1"/>
    <col min="15111" max="15111" width="49.85546875" style="74" customWidth="1"/>
    <col min="15112" max="15360" width="9.140625" style="74"/>
    <col min="15361" max="15361" width="6.140625" style="74" customWidth="1"/>
    <col min="15362" max="15362" width="34.140625" style="74" bestFit="1" customWidth="1"/>
    <col min="15363" max="15363" width="39.28515625" style="74" customWidth="1"/>
    <col min="15364" max="15364" width="21.140625" style="74" customWidth="1"/>
    <col min="15365" max="15366" width="19.85546875" style="74" customWidth="1"/>
    <col min="15367" max="15367" width="49.85546875" style="74" customWidth="1"/>
    <col min="15368" max="15616" width="9.140625" style="74"/>
    <col min="15617" max="15617" width="6.140625" style="74" customWidth="1"/>
    <col min="15618" max="15618" width="34.140625" style="74" bestFit="1" customWidth="1"/>
    <col min="15619" max="15619" width="39.28515625" style="74" customWidth="1"/>
    <col min="15620" max="15620" width="21.140625" style="74" customWidth="1"/>
    <col min="15621" max="15622" width="19.85546875" style="74" customWidth="1"/>
    <col min="15623" max="15623" width="49.85546875" style="74" customWidth="1"/>
    <col min="15624" max="15872" width="9.140625" style="74"/>
    <col min="15873" max="15873" width="6.140625" style="74" customWidth="1"/>
    <col min="15874" max="15874" width="34.140625" style="74" bestFit="1" customWidth="1"/>
    <col min="15875" max="15875" width="39.28515625" style="74" customWidth="1"/>
    <col min="15876" max="15876" width="21.140625" style="74" customWidth="1"/>
    <col min="15877" max="15878" width="19.85546875" style="74" customWidth="1"/>
    <col min="15879" max="15879" width="49.85546875" style="74" customWidth="1"/>
    <col min="15880" max="16128" width="9.140625" style="74"/>
    <col min="16129" max="16129" width="6.140625" style="74" customWidth="1"/>
    <col min="16130" max="16130" width="34.140625" style="74" bestFit="1" customWidth="1"/>
    <col min="16131" max="16131" width="39.28515625" style="74" customWidth="1"/>
    <col min="16132" max="16132" width="21.140625" style="74" customWidth="1"/>
    <col min="16133" max="16134" width="19.85546875" style="74" customWidth="1"/>
    <col min="16135" max="16135" width="49.85546875" style="74" customWidth="1"/>
    <col min="16136" max="16384" width="9.140625" style="74"/>
  </cols>
  <sheetData>
    <row r="2" spans="1:7" x14ac:dyDescent="0.25">
      <c r="A2" s="72"/>
      <c r="B2" s="105" t="s">
        <v>162</v>
      </c>
      <c r="C2" s="106"/>
      <c r="D2" s="72"/>
      <c r="E2" s="72"/>
      <c r="F2" s="72"/>
      <c r="G2" s="73"/>
    </row>
    <row r="3" spans="1:7" x14ac:dyDescent="0.25">
      <c r="A3" s="72"/>
      <c r="B3" s="72"/>
      <c r="C3" s="72"/>
      <c r="D3" s="72"/>
      <c r="E3" s="72"/>
      <c r="F3" s="72"/>
      <c r="G3" s="72"/>
    </row>
    <row r="4" spans="1:7" x14ac:dyDescent="0.25">
      <c r="A4" s="72"/>
      <c r="B4" s="75" t="s">
        <v>163</v>
      </c>
      <c r="C4" s="73"/>
      <c r="D4" s="72"/>
      <c r="E4" s="72"/>
      <c r="F4" s="72"/>
      <c r="G4" s="73"/>
    </row>
    <row r="5" spans="1:7" x14ac:dyDescent="0.25">
      <c r="A5" s="72"/>
      <c r="B5" s="72"/>
      <c r="C5" s="72"/>
      <c r="D5" s="72"/>
      <c r="E5" s="72"/>
      <c r="F5" s="72"/>
      <c r="G5" s="72"/>
    </row>
    <row r="6" spans="1:7" x14ac:dyDescent="0.25">
      <c r="A6" s="72"/>
      <c r="B6" s="76" t="s">
        <v>164</v>
      </c>
      <c r="C6" s="75" t="s">
        <v>165</v>
      </c>
      <c r="D6" s="75" t="s">
        <v>166</v>
      </c>
      <c r="E6" s="75" t="s">
        <v>8</v>
      </c>
      <c r="F6" s="75" t="s">
        <v>9</v>
      </c>
      <c r="G6" s="75" t="s">
        <v>167</v>
      </c>
    </row>
    <row r="7" spans="1:7" ht="33.75" x14ac:dyDescent="0.25">
      <c r="A7" s="107">
        <v>1</v>
      </c>
      <c r="B7" s="110" t="s">
        <v>168</v>
      </c>
      <c r="C7" s="77" t="s">
        <v>169</v>
      </c>
      <c r="D7" s="78"/>
      <c r="E7" s="78"/>
      <c r="F7" s="78"/>
      <c r="G7" s="78"/>
    </row>
    <row r="8" spans="1:7" ht="41.25" customHeight="1" x14ac:dyDescent="0.25">
      <c r="A8" s="108"/>
      <c r="B8" s="111"/>
      <c r="C8" s="77" t="s">
        <v>170</v>
      </c>
      <c r="D8" s="78" t="s">
        <v>171</v>
      </c>
      <c r="E8" s="78" t="s">
        <v>172</v>
      </c>
      <c r="F8" s="78" t="s">
        <v>173</v>
      </c>
      <c r="G8" s="110" t="s">
        <v>174</v>
      </c>
    </row>
    <row r="9" spans="1:7" ht="35.25" customHeight="1" x14ac:dyDescent="0.25">
      <c r="A9" s="109"/>
      <c r="B9" s="112"/>
      <c r="C9" s="77" t="s">
        <v>175</v>
      </c>
      <c r="D9" s="78" t="s">
        <v>176</v>
      </c>
      <c r="E9" s="78" t="s">
        <v>177</v>
      </c>
      <c r="F9" s="78" t="s">
        <v>178</v>
      </c>
      <c r="G9" s="112"/>
    </row>
    <row r="10" spans="1:7" x14ac:dyDescent="0.25">
      <c r="A10" s="79">
        <v>2</v>
      </c>
      <c r="B10" s="80" t="s">
        <v>179</v>
      </c>
      <c r="C10" s="72" t="s">
        <v>180</v>
      </c>
      <c r="D10" s="72" t="s">
        <v>181</v>
      </c>
      <c r="E10" s="72" t="s">
        <v>182</v>
      </c>
      <c r="F10" s="72" t="s">
        <v>183</v>
      </c>
      <c r="G10" s="72"/>
    </row>
    <row r="11" spans="1:7" ht="33.75" x14ac:dyDescent="0.25">
      <c r="A11" s="113">
        <v>3</v>
      </c>
      <c r="B11" s="81" t="s">
        <v>184</v>
      </c>
      <c r="C11" s="72" t="s">
        <v>185</v>
      </c>
      <c r="D11" s="72"/>
      <c r="E11" s="72"/>
      <c r="F11" s="72"/>
      <c r="G11" s="72" t="s">
        <v>186</v>
      </c>
    </row>
    <row r="12" spans="1:7" ht="22.5" x14ac:dyDescent="0.25">
      <c r="A12" s="114"/>
      <c r="B12" s="82" t="s">
        <v>187</v>
      </c>
      <c r="C12" s="72" t="s">
        <v>188</v>
      </c>
      <c r="D12" s="72" t="s">
        <v>189</v>
      </c>
      <c r="E12" s="72" t="s">
        <v>190</v>
      </c>
      <c r="F12" s="72" t="s">
        <v>191</v>
      </c>
      <c r="G12" s="72" t="s">
        <v>192</v>
      </c>
    </row>
    <row r="13" spans="1:7" x14ac:dyDescent="0.25">
      <c r="A13" s="114"/>
      <c r="B13" s="82" t="s">
        <v>193</v>
      </c>
      <c r="C13" s="72" t="s">
        <v>194</v>
      </c>
      <c r="D13" s="83" t="s">
        <v>195</v>
      </c>
      <c r="E13" s="72" t="s">
        <v>196</v>
      </c>
      <c r="F13" s="72" t="s">
        <v>197</v>
      </c>
      <c r="G13" s="72"/>
    </row>
    <row r="14" spans="1:7" ht="33.75" x14ac:dyDescent="0.25">
      <c r="A14" s="115"/>
      <c r="B14" s="82" t="s">
        <v>198</v>
      </c>
      <c r="C14" s="72" t="s">
        <v>199</v>
      </c>
      <c r="D14" s="83" t="s">
        <v>200</v>
      </c>
      <c r="E14" s="72" t="s">
        <v>201</v>
      </c>
      <c r="F14" s="72" t="s">
        <v>202</v>
      </c>
      <c r="G14" s="72"/>
    </row>
    <row r="15" spans="1:7" ht="45" x14ac:dyDescent="0.25">
      <c r="A15" s="80">
        <v>4</v>
      </c>
      <c r="B15" s="72" t="s">
        <v>203</v>
      </c>
      <c r="C15" s="72" t="s">
        <v>204</v>
      </c>
      <c r="D15" s="72" t="s">
        <v>205</v>
      </c>
      <c r="E15" s="72" t="s">
        <v>206</v>
      </c>
      <c r="F15" s="72" t="s">
        <v>207</v>
      </c>
      <c r="G15" s="72"/>
    </row>
    <row r="16" spans="1:7" ht="22.5" x14ac:dyDescent="0.25">
      <c r="A16" s="72">
        <v>5</v>
      </c>
      <c r="B16" s="72" t="s">
        <v>208</v>
      </c>
      <c r="C16" s="72" t="s">
        <v>209</v>
      </c>
      <c r="D16" s="72" t="s">
        <v>210</v>
      </c>
      <c r="E16" s="72" t="s">
        <v>211</v>
      </c>
      <c r="F16" s="72" t="s">
        <v>212</v>
      </c>
      <c r="G16" s="72"/>
    </row>
    <row r="17" spans="1:7" ht="45" x14ac:dyDescent="0.25">
      <c r="A17" s="72">
        <v>6</v>
      </c>
      <c r="B17" s="72" t="s">
        <v>213</v>
      </c>
      <c r="C17" s="72" t="s">
        <v>214</v>
      </c>
      <c r="D17" s="72" t="s">
        <v>215</v>
      </c>
      <c r="E17" s="72" t="s">
        <v>216</v>
      </c>
      <c r="F17" s="72" t="s">
        <v>217</v>
      </c>
      <c r="G17" s="72"/>
    </row>
    <row r="18" spans="1:7" ht="112.5" x14ac:dyDescent="0.25">
      <c r="A18" s="72">
        <v>7</v>
      </c>
      <c r="B18" s="72" t="s">
        <v>218</v>
      </c>
      <c r="C18" s="72" t="s">
        <v>219</v>
      </c>
      <c r="D18" s="72" t="s">
        <v>220</v>
      </c>
      <c r="E18" s="72" t="s">
        <v>221</v>
      </c>
      <c r="F18" s="72" t="s">
        <v>222</v>
      </c>
      <c r="G18" s="72" t="s">
        <v>223</v>
      </c>
    </row>
    <row r="20" spans="1:7" x14ac:dyDescent="0.25">
      <c r="C20" s="74" t="s">
        <v>224</v>
      </c>
      <c r="D20" s="74" t="s">
        <v>225</v>
      </c>
      <c r="E20" s="74">
        <v>1</v>
      </c>
      <c r="F20" s="74" t="s">
        <v>226</v>
      </c>
    </row>
    <row r="21" spans="1:7" x14ac:dyDescent="0.25">
      <c r="C21" s="74" t="s">
        <v>227</v>
      </c>
      <c r="D21" s="74" t="s">
        <v>228</v>
      </c>
      <c r="E21" s="74">
        <v>3</v>
      </c>
      <c r="F21" s="74" t="s">
        <v>226</v>
      </c>
    </row>
    <row r="22" spans="1:7" x14ac:dyDescent="0.25">
      <c r="C22" s="74" t="s">
        <v>229</v>
      </c>
      <c r="D22" s="74" t="s">
        <v>230</v>
      </c>
      <c r="E22" s="74">
        <v>5</v>
      </c>
      <c r="F22" s="74" t="s">
        <v>226</v>
      </c>
    </row>
    <row r="24" spans="1:7" x14ac:dyDescent="0.25">
      <c r="D24" s="74" t="s">
        <v>231</v>
      </c>
    </row>
    <row r="31" spans="1:7" ht="18" customHeight="1" x14ac:dyDescent="0.25">
      <c r="C31" s="116" t="s">
        <v>232</v>
      </c>
      <c r="D31" s="116"/>
      <c r="E31" s="116"/>
      <c r="F31" s="116"/>
    </row>
    <row r="35" spans="3:4" ht="25.5" x14ac:dyDescent="0.25">
      <c r="C35" s="104" t="s">
        <v>233</v>
      </c>
      <c r="D35" s="84" t="s">
        <v>234</v>
      </c>
    </row>
    <row r="36" spans="3:4" ht="12.75" x14ac:dyDescent="0.2">
      <c r="C36" s="104"/>
      <c r="D36" s="85" t="s">
        <v>235</v>
      </c>
    </row>
    <row r="37" spans="3:4" ht="12.75" x14ac:dyDescent="0.2">
      <c r="C37" s="86" t="s">
        <v>236</v>
      </c>
      <c r="D37" s="87">
        <v>10</v>
      </c>
    </row>
    <row r="38" spans="3:4" ht="12.75" x14ac:dyDescent="0.2">
      <c r="C38" s="86" t="s">
        <v>237</v>
      </c>
      <c r="D38" s="87">
        <v>20</v>
      </c>
    </row>
    <row r="39" spans="3:4" ht="12.75" x14ac:dyDescent="0.2">
      <c r="C39" s="86" t="s">
        <v>238</v>
      </c>
      <c r="D39" s="87">
        <v>40</v>
      </c>
    </row>
    <row r="40" spans="3:4" ht="12.75" x14ac:dyDescent="0.2">
      <c r="C40" s="86" t="s">
        <v>239</v>
      </c>
      <c r="D40" s="87">
        <v>15</v>
      </c>
    </row>
    <row r="41" spans="3:4" ht="12.75" x14ac:dyDescent="0.2">
      <c r="C41" s="86" t="s">
        <v>240</v>
      </c>
      <c r="D41" s="87">
        <v>15</v>
      </c>
    </row>
    <row r="42" spans="3:4" ht="12.75" x14ac:dyDescent="0.2">
      <c r="C42" s="88" t="s">
        <v>241</v>
      </c>
      <c r="D42" s="89">
        <f>SUM(D37:D41)</f>
        <v>100</v>
      </c>
    </row>
  </sheetData>
  <mergeCells count="7">
    <mergeCell ref="C35:C36"/>
    <mergeCell ref="B2:C2"/>
    <mergeCell ref="A7:A9"/>
    <mergeCell ref="B7:B9"/>
    <mergeCell ref="G8:G9"/>
    <mergeCell ref="A11:A14"/>
    <mergeCell ref="C31:F31"/>
  </mergeCells>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2:G11"/>
  <sheetViews>
    <sheetView zoomScaleNormal="100" workbookViewId="0">
      <selection activeCell="B6" sqref="B6"/>
    </sheetView>
  </sheetViews>
  <sheetFormatPr defaultRowHeight="12.75" x14ac:dyDescent="0.25"/>
  <cols>
    <col min="1" max="1" width="5.42578125" style="93" customWidth="1"/>
    <col min="2" max="2" width="33.85546875" style="93" customWidth="1"/>
    <col min="3" max="3" width="23.85546875" style="93" customWidth="1"/>
    <col min="4" max="6" width="28.5703125" style="93" customWidth="1"/>
    <col min="7" max="7" width="21.5703125" style="93" customWidth="1"/>
    <col min="8" max="256" width="9.140625" style="93"/>
    <col min="257" max="257" width="5.42578125" style="93" customWidth="1"/>
    <col min="258" max="258" width="33.85546875" style="93" customWidth="1"/>
    <col min="259" max="259" width="23.85546875" style="93" customWidth="1"/>
    <col min="260" max="262" width="28.5703125" style="93" customWidth="1"/>
    <col min="263" max="263" width="21.5703125" style="93" customWidth="1"/>
    <col min="264" max="512" width="9.140625" style="93"/>
    <col min="513" max="513" width="5.42578125" style="93" customWidth="1"/>
    <col min="514" max="514" width="33.85546875" style="93" customWidth="1"/>
    <col min="515" max="515" width="23.85546875" style="93" customWidth="1"/>
    <col min="516" max="518" width="28.5703125" style="93" customWidth="1"/>
    <col min="519" max="519" width="21.5703125" style="93" customWidth="1"/>
    <col min="520" max="768" width="9.140625" style="93"/>
    <col min="769" max="769" width="5.42578125" style="93" customWidth="1"/>
    <col min="770" max="770" width="33.85546875" style="93" customWidth="1"/>
    <col min="771" max="771" width="23.85546875" style="93" customWidth="1"/>
    <col min="772" max="774" width="28.5703125" style="93" customWidth="1"/>
    <col min="775" max="775" width="21.5703125" style="93" customWidth="1"/>
    <col min="776" max="1024" width="9.140625" style="93"/>
    <col min="1025" max="1025" width="5.42578125" style="93" customWidth="1"/>
    <col min="1026" max="1026" width="33.85546875" style="93" customWidth="1"/>
    <col min="1027" max="1027" width="23.85546875" style="93" customWidth="1"/>
    <col min="1028" max="1030" width="28.5703125" style="93" customWidth="1"/>
    <col min="1031" max="1031" width="21.5703125" style="93" customWidth="1"/>
    <col min="1032" max="1280" width="9.140625" style="93"/>
    <col min="1281" max="1281" width="5.42578125" style="93" customWidth="1"/>
    <col min="1282" max="1282" width="33.85546875" style="93" customWidth="1"/>
    <col min="1283" max="1283" width="23.85546875" style="93" customWidth="1"/>
    <col min="1284" max="1286" width="28.5703125" style="93" customWidth="1"/>
    <col min="1287" max="1287" width="21.5703125" style="93" customWidth="1"/>
    <col min="1288" max="1536" width="9.140625" style="93"/>
    <col min="1537" max="1537" width="5.42578125" style="93" customWidth="1"/>
    <col min="1538" max="1538" width="33.85546875" style="93" customWidth="1"/>
    <col min="1539" max="1539" width="23.85546875" style="93" customWidth="1"/>
    <col min="1540" max="1542" width="28.5703125" style="93" customWidth="1"/>
    <col min="1543" max="1543" width="21.5703125" style="93" customWidth="1"/>
    <col min="1544" max="1792" width="9.140625" style="93"/>
    <col min="1793" max="1793" width="5.42578125" style="93" customWidth="1"/>
    <col min="1794" max="1794" width="33.85546875" style="93" customWidth="1"/>
    <col min="1795" max="1795" width="23.85546875" style="93" customWidth="1"/>
    <col min="1796" max="1798" width="28.5703125" style="93" customWidth="1"/>
    <col min="1799" max="1799" width="21.5703125" style="93" customWidth="1"/>
    <col min="1800" max="2048" width="9.140625" style="93"/>
    <col min="2049" max="2049" width="5.42578125" style="93" customWidth="1"/>
    <col min="2050" max="2050" width="33.85546875" style="93" customWidth="1"/>
    <col min="2051" max="2051" width="23.85546875" style="93" customWidth="1"/>
    <col min="2052" max="2054" width="28.5703125" style="93" customWidth="1"/>
    <col min="2055" max="2055" width="21.5703125" style="93" customWidth="1"/>
    <col min="2056" max="2304" width="9.140625" style="93"/>
    <col min="2305" max="2305" width="5.42578125" style="93" customWidth="1"/>
    <col min="2306" max="2306" width="33.85546875" style="93" customWidth="1"/>
    <col min="2307" max="2307" width="23.85546875" style="93" customWidth="1"/>
    <col min="2308" max="2310" width="28.5703125" style="93" customWidth="1"/>
    <col min="2311" max="2311" width="21.5703125" style="93" customWidth="1"/>
    <col min="2312" max="2560" width="9.140625" style="93"/>
    <col min="2561" max="2561" width="5.42578125" style="93" customWidth="1"/>
    <col min="2562" max="2562" width="33.85546875" style="93" customWidth="1"/>
    <col min="2563" max="2563" width="23.85546875" style="93" customWidth="1"/>
    <col min="2564" max="2566" width="28.5703125" style="93" customWidth="1"/>
    <col min="2567" max="2567" width="21.5703125" style="93" customWidth="1"/>
    <col min="2568" max="2816" width="9.140625" style="93"/>
    <col min="2817" max="2817" width="5.42578125" style="93" customWidth="1"/>
    <col min="2818" max="2818" width="33.85546875" style="93" customWidth="1"/>
    <col min="2819" max="2819" width="23.85546875" style="93" customWidth="1"/>
    <col min="2820" max="2822" width="28.5703125" style="93" customWidth="1"/>
    <col min="2823" max="2823" width="21.5703125" style="93" customWidth="1"/>
    <col min="2824" max="3072" width="9.140625" style="93"/>
    <col min="3073" max="3073" width="5.42578125" style="93" customWidth="1"/>
    <col min="3074" max="3074" width="33.85546875" style="93" customWidth="1"/>
    <col min="3075" max="3075" width="23.85546875" style="93" customWidth="1"/>
    <col min="3076" max="3078" width="28.5703125" style="93" customWidth="1"/>
    <col min="3079" max="3079" width="21.5703125" style="93" customWidth="1"/>
    <col min="3080" max="3328" width="9.140625" style="93"/>
    <col min="3329" max="3329" width="5.42578125" style="93" customWidth="1"/>
    <col min="3330" max="3330" width="33.85546875" style="93" customWidth="1"/>
    <col min="3331" max="3331" width="23.85546875" style="93" customWidth="1"/>
    <col min="3332" max="3334" width="28.5703125" style="93" customWidth="1"/>
    <col min="3335" max="3335" width="21.5703125" style="93" customWidth="1"/>
    <col min="3336" max="3584" width="9.140625" style="93"/>
    <col min="3585" max="3585" width="5.42578125" style="93" customWidth="1"/>
    <col min="3586" max="3586" width="33.85546875" style="93" customWidth="1"/>
    <col min="3587" max="3587" width="23.85546875" style="93" customWidth="1"/>
    <col min="3588" max="3590" width="28.5703125" style="93" customWidth="1"/>
    <col min="3591" max="3591" width="21.5703125" style="93" customWidth="1"/>
    <col min="3592" max="3840" width="9.140625" style="93"/>
    <col min="3841" max="3841" width="5.42578125" style="93" customWidth="1"/>
    <col min="3842" max="3842" width="33.85546875" style="93" customWidth="1"/>
    <col min="3843" max="3843" width="23.85546875" style="93" customWidth="1"/>
    <col min="3844" max="3846" width="28.5703125" style="93" customWidth="1"/>
    <col min="3847" max="3847" width="21.5703125" style="93" customWidth="1"/>
    <col min="3848" max="4096" width="9.140625" style="93"/>
    <col min="4097" max="4097" width="5.42578125" style="93" customWidth="1"/>
    <col min="4098" max="4098" width="33.85546875" style="93" customWidth="1"/>
    <col min="4099" max="4099" width="23.85546875" style="93" customWidth="1"/>
    <col min="4100" max="4102" width="28.5703125" style="93" customWidth="1"/>
    <col min="4103" max="4103" width="21.5703125" style="93" customWidth="1"/>
    <col min="4104" max="4352" width="9.140625" style="93"/>
    <col min="4353" max="4353" width="5.42578125" style="93" customWidth="1"/>
    <col min="4354" max="4354" width="33.85546875" style="93" customWidth="1"/>
    <col min="4355" max="4355" width="23.85546875" style="93" customWidth="1"/>
    <col min="4356" max="4358" width="28.5703125" style="93" customWidth="1"/>
    <col min="4359" max="4359" width="21.5703125" style="93" customWidth="1"/>
    <col min="4360" max="4608" width="9.140625" style="93"/>
    <col min="4609" max="4609" width="5.42578125" style="93" customWidth="1"/>
    <col min="4610" max="4610" width="33.85546875" style="93" customWidth="1"/>
    <col min="4611" max="4611" width="23.85546875" style="93" customWidth="1"/>
    <col min="4612" max="4614" width="28.5703125" style="93" customWidth="1"/>
    <col min="4615" max="4615" width="21.5703125" style="93" customWidth="1"/>
    <col min="4616" max="4864" width="9.140625" style="93"/>
    <col min="4865" max="4865" width="5.42578125" style="93" customWidth="1"/>
    <col min="4866" max="4866" width="33.85546875" style="93" customWidth="1"/>
    <col min="4867" max="4867" width="23.85546875" style="93" customWidth="1"/>
    <col min="4868" max="4870" width="28.5703125" style="93" customWidth="1"/>
    <col min="4871" max="4871" width="21.5703125" style="93" customWidth="1"/>
    <col min="4872" max="5120" width="9.140625" style="93"/>
    <col min="5121" max="5121" width="5.42578125" style="93" customWidth="1"/>
    <col min="5122" max="5122" width="33.85546875" style="93" customWidth="1"/>
    <col min="5123" max="5123" width="23.85546875" style="93" customWidth="1"/>
    <col min="5124" max="5126" width="28.5703125" style="93" customWidth="1"/>
    <col min="5127" max="5127" width="21.5703125" style="93" customWidth="1"/>
    <col min="5128" max="5376" width="9.140625" style="93"/>
    <col min="5377" max="5377" width="5.42578125" style="93" customWidth="1"/>
    <col min="5378" max="5378" width="33.85546875" style="93" customWidth="1"/>
    <col min="5379" max="5379" width="23.85546875" style="93" customWidth="1"/>
    <col min="5380" max="5382" width="28.5703125" style="93" customWidth="1"/>
    <col min="5383" max="5383" width="21.5703125" style="93" customWidth="1"/>
    <col min="5384" max="5632" width="9.140625" style="93"/>
    <col min="5633" max="5633" width="5.42578125" style="93" customWidth="1"/>
    <col min="5634" max="5634" width="33.85546875" style="93" customWidth="1"/>
    <col min="5635" max="5635" width="23.85546875" style="93" customWidth="1"/>
    <col min="5636" max="5638" width="28.5703125" style="93" customWidth="1"/>
    <col min="5639" max="5639" width="21.5703125" style="93" customWidth="1"/>
    <col min="5640" max="5888" width="9.140625" style="93"/>
    <col min="5889" max="5889" width="5.42578125" style="93" customWidth="1"/>
    <col min="5890" max="5890" width="33.85546875" style="93" customWidth="1"/>
    <col min="5891" max="5891" width="23.85546875" style="93" customWidth="1"/>
    <col min="5892" max="5894" width="28.5703125" style="93" customWidth="1"/>
    <col min="5895" max="5895" width="21.5703125" style="93" customWidth="1"/>
    <col min="5896" max="6144" width="9.140625" style="93"/>
    <col min="6145" max="6145" width="5.42578125" style="93" customWidth="1"/>
    <col min="6146" max="6146" width="33.85546875" style="93" customWidth="1"/>
    <col min="6147" max="6147" width="23.85546875" style="93" customWidth="1"/>
    <col min="6148" max="6150" width="28.5703125" style="93" customWidth="1"/>
    <col min="6151" max="6151" width="21.5703125" style="93" customWidth="1"/>
    <col min="6152" max="6400" width="9.140625" style="93"/>
    <col min="6401" max="6401" width="5.42578125" style="93" customWidth="1"/>
    <col min="6402" max="6402" width="33.85546875" style="93" customWidth="1"/>
    <col min="6403" max="6403" width="23.85546875" style="93" customWidth="1"/>
    <col min="6404" max="6406" width="28.5703125" style="93" customWidth="1"/>
    <col min="6407" max="6407" width="21.5703125" style="93" customWidth="1"/>
    <col min="6408" max="6656" width="9.140625" style="93"/>
    <col min="6657" max="6657" width="5.42578125" style="93" customWidth="1"/>
    <col min="6658" max="6658" width="33.85546875" style="93" customWidth="1"/>
    <col min="6659" max="6659" width="23.85546875" style="93" customWidth="1"/>
    <col min="6660" max="6662" width="28.5703125" style="93" customWidth="1"/>
    <col min="6663" max="6663" width="21.5703125" style="93" customWidth="1"/>
    <col min="6664" max="6912" width="9.140625" style="93"/>
    <col min="6913" max="6913" width="5.42578125" style="93" customWidth="1"/>
    <col min="6914" max="6914" width="33.85546875" style="93" customWidth="1"/>
    <col min="6915" max="6915" width="23.85546875" style="93" customWidth="1"/>
    <col min="6916" max="6918" width="28.5703125" style="93" customWidth="1"/>
    <col min="6919" max="6919" width="21.5703125" style="93" customWidth="1"/>
    <col min="6920" max="7168" width="9.140625" style="93"/>
    <col min="7169" max="7169" width="5.42578125" style="93" customWidth="1"/>
    <col min="7170" max="7170" width="33.85546875" style="93" customWidth="1"/>
    <col min="7171" max="7171" width="23.85546875" style="93" customWidth="1"/>
    <col min="7172" max="7174" width="28.5703125" style="93" customWidth="1"/>
    <col min="7175" max="7175" width="21.5703125" style="93" customWidth="1"/>
    <col min="7176" max="7424" width="9.140625" style="93"/>
    <col min="7425" max="7425" width="5.42578125" style="93" customWidth="1"/>
    <col min="7426" max="7426" width="33.85546875" style="93" customWidth="1"/>
    <col min="7427" max="7427" width="23.85546875" style="93" customWidth="1"/>
    <col min="7428" max="7430" width="28.5703125" style="93" customWidth="1"/>
    <col min="7431" max="7431" width="21.5703125" style="93" customWidth="1"/>
    <col min="7432" max="7680" width="9.140625" style="93"/>
    <col min="7681" max="7681" width="5.42578125" style="93" customWidth="1"/>
    <col min="7682" max="7682" width="33.85546875" style="93" customWidth="1"/>
    <col min="7683" max="7683" width="23.85546875" style="93" customWidth="1"/>
    <col min="7684" max="7686" width="28.5703125" style="93" customWidth="1"/>
    <col min="7687" max="7687" width="21.5703125" style="93" customWidth="1"/>
    <col min="7688" max="7936" width="9.140625" style="93"/>
    <col min="7937" max="7937" width="5.42578125" style="93" customWidth="1"/>
    <col min="7938" max="7938" width="33.85546875" style="93" customWidth="1"/>
    <col min="7939" max="7939" width="23.85546875" style="93" customWidth="1"/>
    <col min="7940" max="7942" width="28.5703125" style="93" customWidth="1"/>
    <col min="7943" max="7943" width="21.5703125" style="93" customWidth="1"/>
    <col min="7944" max="8192" width="9.140625" style="93"/>
    <col min="8193" max="8193" width="5.42578125" style="93" customWidth="1"/>
    <col min="8194" max="8194" width="33.85546875" style="93" customWidth="1"/>
    <col min="8195" max="8195" width="23.85546875" style="93" customWidth="1"/>
    <col min="8196" max="8198" width="28.5703125" style="93" customWidth="1"/>
    <col min="8199" max="8199" width="21.5703125" style="93" customWidth="1"/>
    <col min="8200" max="8448" width="9.140625" style="93"/>
    <col min="8449" max="8449" width="5.42578125" style="93" customWidth="1"/>
    <col min="8450" max="8450" width="33.85546875" style="93" customWidth="1"/>
    <col min="8451" max="8451" width="23.85546875" style="93" customWidth="1"/>
    <col min="8452" max="8454" width="28.5703125" style="93" customWidth="1"/>
    <col min="8455" max="8455" width="21.5703125" style="93" customWidth="1"/>
    <col min="8456" max="8704" width="9.140625" style="93"/>
    <col min="8705" max="8705" width="5.42578125" style="93" customWidth="1"/>
    <col min="8706" max="8706" width="33.85546875" style="93" customWidth="1"/>
    <col min="8707" max="8707" width="23.85546875" style="93" customWidth="1"/>
    <col min="8708" max="8710" width="28.5703125" style="93" customWidth="1"/>
    <col min="8711" max="8711" width="21.5703125" style="93" customWidth="1"/>
    <col min="8712" max="8960" width="9.140625" style="93"/>
    <col min="8961" max="8961" width="5.42578125" style="93" customWidth="1"/>
    <col min="8962" max="8962" width="33.85546875" style="93" customWidth="1"/>
    <col min="8963" max="8963" width="23.85546875" style="93" customWidth="1"/>
    <col min="8964" max="8966" width="28.5703125" style="93" customWidth="1"/>
    <col min="8967" max="8967" width="21.5703125" style="93" customWidth="1"/>
    <col min="8968" max="9216" width="9.140625" style="93"/>
    <col min="9217" max="9217" width="5.42578125" style="93" customWidth="1"/>
    <col min="9218" max="9218" width="33.85546875" style="93" customWidth="1"/>
    <col min="9219" max="9219" width="23.85546875" style="93" customWidth="1"/>
    <col min="9220" max="9222" width="28.5703125" style="93" customWidth="1"/>
    <col min="9223" max="9223" width="21.5703125" style="93" customWidth="1"/>
    <col min="9224" max="9472" width="9.140625" style="93"/>
    <col min="9473" max="9473" width="5.42578125" style="93" customWidth="1"/>
    <col min="9474" max="9474" width="33.85546875" style="93" customWidth="1"/>
    <col min="9475" max="9475" width="23.85546875" style="93" customWidth="1"/>
    <col min="9476" max="9478" width="28.5703125" style="93" customWidth="1"/>
    <col min="9479" max="9479" width="21.5703125" style="93" customWidth="1"/>
    <col min="9480" max="9728" width="9.140625" style="93"/>
    <col min="9729" max="9729" width="5.42578125" style="93" customWidth="1"/>
    <col min="9730" max="9730" width="33.85546875" style="93" customWidth="1"/>
    <col min="9731" max="9731" width="23.85546875" style="93" customWidth="1"/>
    <col min="9732" max="9734" width="28.5703125" style="93" customWidth="1"/>
    <col min="9735" max="9735" width="21.5703125" style="93" customWidth="1"/>
    <col min="9736" max="9984" width="9.140625" style="93"/>
    <col min="9985" max="9985" width="5.42578125" style="93" customWidth="1"/>
    <col min="9986" max="9986" width="33.85546875" style="93" customWidth="1"/>
    <col min="9987" max="9987" width="23.85546875" style="93" customWidth="1"/>
    <col min="9988" max="9990" width="28.5703125" style="93" customWidth="1"/>
    <col min="9991" max="9991" width="21.5703125" style="93" customWidth="1"/>
    <col min="9992" max="10240" width="9.140625" style="93"/>
    <col min="10241" max="10241" width="5.42578125" style="93" customWidth="1"/>
    <col min="10242" max="10242" width="33.85546875" style="93" customWidth="1"/>
    <col min="10243" max="10243" width="23.85546875" style="93" customWidth="1"/>
    <col min="10244" max="10246" width="28.5703125" style="93" customWidth="1"/>
    <col min="10247" max="10247" width="21.5703125" style="93" customWidth="1"/>
    <col min="10248" max="10496" width="9.140625" style="93"/>
    <col min="10497" max="10497" width="5.42578125" style="93" customWidth="1"/>
    <col min="10498" max="10498" width="33.85546875" style="93" customWidth="1"/>
    <col min="10499" max="10499" width="23.85546875" style="93" customWidth="1"/>
    <col min="10500" max="10502" width="28.5703125" style="93" customWidth="1"/>
    <col min="10503" max="10503" width="21.5703125" style="93" customWidth="1"/>
    <col min="10504" max="10752" width="9.140625" style="93"/>
    <col min="10753" max="10753" width="5.42578125" style="93" customWidth="1"/>
    <col min="10754" max="10754" width="33.85546875" style="93" customWidth="1"/>
    <col min="10755" max="10755" width="23.85546875" style="93" customWidth="1"/>
    <col min="10756" max="10758" width="28.5703125" style="93" customWidth="1"/>
    <col min="10759" max="10759" width="21.5703125" style="93" customWidth="1"/>
    <col min="10760" max="11008" width="9.140625" style="93"/>
    <col min="11009" max="11009" width="5.42578125" style="93" customWidth="1"/>
    <col min="11010" max="11010" width="33.85546875" style="93" customWidth="1"/>
    <col min="11011" max="11011" width="23.85546875" style="93" customWidth="1"/>
    <col min="11012" max="11014" width="28.5703125" style="93" customWidth="1"/>
    <col min="11015" max="11015" width="21.5703125" style="93" customWidth="1"/>
    <col min="11016" max="11264" width="9.140625" style="93"/>
    <col min="11265" max="11265" width="5.42578125" style="93" customWidth="1"/>
    <col min="11266" max="11266" width="33.85546875" style="93" customWidth="1"/>
    <col min="11267" max="11267" width="23.85546875" style="93" customWidth="1"/>
    <col min="11268" max="11270" width="28.5703125" style="93" customWidth="1"/>
    <col min="11271" max="11271" width="21.5703125" style="93" customWidth="1"/>
    <col min="11272" max="11520" width="9.140625" style="93"/>
    <col min="11521" max="11521" width="5.42578125" style="93" customWidth="1"/>
    <col min="11522" max="11522" width="33.85546875" style="93" customWidth="1"/>
    <col min="11523" max="11523" width="23.85546875" style="93" customWidth="1"/>
    <col min="11524" max="11526" width="28.5703125" style="93" customWidth="1"/>
    <col min="11527" max="11527" width="21.5703125" style="93" customWidth="1"/>
    <col min="11528" max="11776" width="9.140625" style="93"/>
    <col min="11777" max="11777" width="5.42578125" style="93" customWidth="1"/>
    <col min="11778" max="11778" width="33.85546875" style="93" customWidth="1"/>
    <col min="11779" max="11779" width="23.85546875" style="93" customWidth="1"/>
    <col min="11780" max="11782" width="28.5703125" style="93" customWidth="1"/>
    <col min="11783" max="11783" width="21.5703125" style="93" customWidth="1"/>
    <col min="11784" max="12032" width="9.140625" style="93"/>
    <col min="12033" max="12033" width="5.42578125" style="93" customWidth="1"/>
    <col min="12034" max="12034" width="33.85546875" style="93" customWidth="1"/>
    <col min="12035" max="12035" width="23.85546875" style="93" customWidth="1"/>
    <col min="12036" max="12038" width="28.5703125" style="93" customWidth="1"/>
    <col min="12039" max="12039" width="21.5703125" style="93" customWidth="1"/>
    <col min="12040" max="12288" width="9.140625" style="93"/>
    <col min="12289" max="12289" width="5.42578125" style="93" customWidth="1"/>
    <col min="12290" max="12290" width="33.85546875" style="93" customWidth="1"/>
    <col min="12291" max="12291" width="23.85546875" style="93" customWidth="1"/>
    <col min="12292" max="12294" width="28.5703125" style="93" customWidth="1"/>
    <col min="12295" max="12295" width="21.5703125" style="93" customWidth="1"/>
    <col min="12296" max="12544" width="9.140625" style="93"/>
    <col min="12545" max="12545" width="5.42578125" style="93" customWidth="1"/>
    <col min="12546" max="12546" width="33.85546875" style="93" customWidth="1"/>
    <col min="12547" max="12547" width="23.85546875" style="93" customWidth="1"/>
    <col min="12548" max="12550" width="28.5703125" style="93" customWidth="1"/>
    <col min="12551" max="12551" width="21.5703125" style="93" customWidth="1"/>
    <col min="12552" max="12800" width="9.140625" style="93"/>
    <col min="12801" max="12801" width="5.42578125" style="93" customWidth="1"/>
    <col min="12802" max="12802" width="33.85546875" style="93" customWidth="1"/>
    <col min="12803" max="12803" width="23.85546875" style="93" customWidth="1"/>
    <col min="12804" max="12806" width="28.5703125" style="93" customWidth="1"/>
    <col min="12807" max="12807" width="21.5703125" style="93" customWidth="1"/>
    <col min="12808" max="13056" width="9.140625" style="93"/>
    <col min="13057" max="13057" width="5.42578125" style="93" customWidth="1"/>
    <col min="13058" max="13058" width="33.85546875" style="93" customWidth="1"/>
    <col min="13059" max="13059" width="23.85546875" style="93" customWidth="1"/>
    <col min="13060" max="13062" width="28.5703125" style="93" customWidth="1"/>
    <col min="13063" max="13063" width="21.5703125" style="93" customWidth="1"/>
    <col min="13064" max="13312" width="9.140625" style="93"/>
    <col min="13313" max="13313" width="5.42578125" style="93" customWidth="1"/>
    <col min="13314" max="13314" width="33.85546875" style="93" customWidth="1"/>
    <col min="13315" max="13315" width="23.85546875" style="93" customWidth="1"/>
    <col min="13316" max="13318" width="28.5703125" style="93" customWidth="1"/>
    <col min="13319" max="13319" width="21.5703125" style="93" customWidth="1"/>
    <col min="13320" max="13568" width="9.140625" style="93"/>
    <col min="13569" max="13569" width="5.42578125" style="93" customWidth="1"/>
    <col min="13570" max="13570" width="33.85546875" style="93" customWidth="1"/>
    <col min="13571" max="13571" width="23.85546875" style="93" customWidth="1"/>
    <col min="13572" max="13574" width="28.5703125" style="93" customWidth="1"/>
    <col min="13575" max="13575" width="21.5703125" style="93" customWidth="1"/>
    <col min="13576" max="13824" width="9.140625" style="93"/>
    <col min="13825" max="13825" width="5.42578125" style="93" customWidth="1"/>
    <col min="13826" max="13826" width="33.85546875" style="93" customWidth="1"/>
    <col min="13827" max="13827" width="23.85546875" style="93" customWidth="1"/>
    <col min="13828" max="13830" width="28.5703125" style="93" customWidth="1"/>
    <col min="13831" max="13831" width="21.5703125" style="93" customWidth="1"/>
    <col min="13832" max="14080" width="9.140625" style="93"/>
    <col min="14081" max="14081" width="5.42578125" style="93" customWidth="1"/>
    <col min="14082" max="14082" width="33.85546875" style="93" customWidth="1"/>
    <col min="14083" max="14083" width="23.85546875" style="93" customWidth="1"/>
    <col min="14084" max="14086" width="28.5703125" style="93" customWidth="1"/>
    <col min="14087" max="14087" width="21.5703125" style="93" customWidth="1"/>
    <col min="14088" max="14336" width="9.140625" style="93"/>
    <col min="14337" max="14337" width="5.42578125" style="93" customWidth="1"/>
    <col min="14338" max="14338" width="33.85546875" style="93" customWidth="1"/>
    <col min="14339" max="14339" width="23.85546875" style="93" customWidth="1"/>
    <col min="14340" max="14342" width="28.5703125" style="93" customWidth="1"/>
    <col min="14343" max="14343" width="21.5703125" style="93" customWidth="1"/>
    <col min="14344" max="14592" width="9.140625" style="93"/>
    <col min="14593" max="14593" width="5.42578125" style="93" customWidth="1"/>
    <col min="14594" max="14594" width="33.85546875" style="93" customWidth="1"/>
    <col min="14595" max="14595" width="23.85546875" style="93" customWidth="1"/>
    <col min="14596" max="14598" width="28.5703125" style="93" customWidth="1"/>
    <col min="14599" max="14599" width="21.5703125" style="93" customWidth="1"/>
    <col min="14600" max="14848" width="9.140625" style="93"/>
    <col min="14849" max="14849" width="5.42578125" style="93" customWidth="1"/>
    <col min="14850" max="14850" width="33.85546875" style="93" customWidth="1"/>
    <col min="14851" max="14851" width="23.85546875" style="93" customWidth="1"/>
    <col min="14852" max="14854" width="28.5703125" style="93" customWidth="1"/>
    <col min="14855" max="14855" width="21.5703125" style="93" customWidth="1"/>
    <col min="14856" max="15104" width="9.140625" style="93"/>
    <col min="15105" max="15105" width="5.42578125" style="93" customWidth="1"/>
    <col min="15106" max="15106" width="33.85546875" style="93" customWidth="1"/>
    <col min="15107" max="15107" width="23.85546875" style="93" customWidth="1"/>
    <col min="15108" max="15110" width="28.5703125" style="93" customWidth="1"/>
    <col min="15111" max="15111" width="21.5703125" style="93" customWidth="1"/>
    <col min="15112" max="15360" width="9.140625" style="93"/>
    <col min="15361" max="15361" width="5.42578125" style="93" customWidth="1"/>
    <col min="15362" max="15362" width="33.85546875" style="93" customWidth="1"/>
    <col min="15363" max="15363" width="23.85546875" style="93" customWidth="1"/>
    <col min="15364" max="15366" width="28.5703125" style="93" customWidth="1"/>
    <col min="15367" max="15367" width="21.5703125" style="93" customWidth="1"/>
    <col min="15368" max="15616" width="9.140625" style="93"/>
    <col min="15617" max="15617" width="5.42578125" style="93" customWidth="1"/>
    <col min="15618" max="15618" width="33.85546875" style="93" customWidth="1"/>
    <col min="15619" max="15619" width="23.85546875" style="93" customWidth="1"/>
    <col min="15620" max="15622" width="28.5703125" style="93" customWidth="1"/>
    <col min="15623" max="15623" width="21.5703125" style="93" customWidth="1"/>
    <col min="15624" max="15872" width="9.140625" style="93"/>
    <col min="15873" max="15873" width="5.42578125" style="93" customWidth="1"/>
    <col min="15874" max="15874" width="33.85546875" style="93" customWidth="1"/>
    <col min="15875" max="15875" width="23.85546875" style="93" customWidth="1"/>
    <col min="15876" max="15878" width="28.5703125" style="93" customWidth="1"/>
    <col min="15879" max="15879" width="21.5703125" style="93" customWidth="1"/>
    <col min="15880" max="16128" width="9.140625" style="93"/>
    <col min="16129" max="16129" width="5.42578125" style="93" customWidth="1"/>
    <col min="16130" max="16130" width="33.85546875" style="93" customWidth="1"/>
    <col min="16131" max="16131" width="23.85546875" style="93" customWidth="1"/>
    <col min="16132" max="16134" width="28.5703125" style="93" customWidth="1"/>
    <col min="16135" max="16135" width="21.5703125" style="93" customWidth="1"/>
    <col min="16136" max="16384" width="9.140625" style="93"/>
  </cols>
  <sheetData>
    <row r="2" spans="1:7" x14ac:dyDescent="0.25">
      <c r="A2" s="90"/>
      <c r="B2" s="91" t="s">
        <v>162</v>
      </c>
      <c r="C2" s="92"/>
      <c r="D2" s="90"/>
      <c r="E2" s="90"/>
      <c r="F2" s="90"/>
      <c r="G2" s="92"/>
    </row>
    <row r="3" spans="1:7" x14ac:dyDescent="0.25">
      <c r="A3" s="90"/>
      <c r="B3" s="90"/>
      <c r="C3" s="90"/>
      <c r="D3" s="90"/>
      <c r="E3" s="90"/>
      <c r="F3" s="90"/>
      <c r="G3" s="90"/>
    </row>
    <row r="4" spans="1:7" x14ac:dyDescent="0.25">
      <c r="A4" s="90"/>
      <c r="B4" s="91" t="s">
        <v>34</v>
      </c>
      <c r="C4" s="92"/>
      <c r="D4" s="90"/>
      <c r="E4" s="90"/>
      <c r="F4" s="90"/>
      <c r="G4" s="92"/>
    </row>
    <row r="5" spans="1:7" x14ac:dyDescent="0.25">
      <c r="A5" s="90"/>
      <c r="B5" s="90"/>
      <c r="C5" s="90"/>
      <c r="D5" s="90"/>
      <c r="E5" s="90"/>
      <c r="F5" s="90"/>
      <c r="G5" s="90"/>
    </row>
    <row r="6" spans="1:7" ht="25.5" x14ac:dyDescent="0.25">
      <c r="A6" s="90"/>
      <c r="B6" s="91" t="s">
        <v>164</v>
      </c>
      <c r="C6" s="91" t="s">
        <v>165</v>
      </c>
      <c r="D6" s="91" t="s">
        <v>166</v>
      </c>
      <c r="E6" s="91" t="s">
        <v>8</v>
      </c>
      <c r="F6" s="91" t="s">
        <v>9</v>
      </c>
      <c r="G6" s="91" t="s">
        <v>167</v>
      </c>
    </row>
    <row r="7" spans="1:7" ht="114.75" x14ac:dyDescent="0.25">
      <c r="A7" s="90">
        <v>1</v>
      </c>
      <c r="B7" s="90" t="s">
        <v>242</v>
      </c>
      <c r="C7" s="94" t="s">
        <v>243</v>
      </c>
      <c r="D7" s="94" t="s">
        <v>244</v>
      </c>
      <c r="E7" s="94" t="s">
        <v>245</v>
      </c>
      <c r="F7" s="94" t="s">
        <v>246</v>
      </c>
      <c r="G7" s="94"/>
    </row>
    <row r="8" spans="1:7" ht="38.25" x14ac:dyDescent="0.25">
      <c r="A8" s="95">
        <v>2</v>
      </c>
      <c r="B8" s="95" t="s">
        <v>247</v>
      </c>
      <c r="C8" s="94" t="s">
        <v>248</v>
      </c>
      <c r="D8" s="94" t="s">
        <v>249</v>
      </c>
      <c r="E8" s="94" t="s">
        <v>250</v>
      </c>
      <c r="F8" s="94" t="s">
        <v>251</v>
      </c>
      <c r="G8" s="94"/>
    </row>
    <row r="9" spans="1:7" x14ac:dyDescent="0.25">
      <c r="A9" s="95"/>
      <c r="B9" s="95"/>
      <c r="C9" s="95"/>
      <c r="D9" s="95"/>
      <c r="E9" s="95"/>
      <c r="F9" s="95"/>
      <c r="G9" s="95"/>
    </row>
    <row r="10" spans="1:7" x14ac:dyDescent="0.25">
      <c r="A10" s="95"/>
      <c r="B10" s="95"/>
      <c r="C10" s="95"/>
      <c r="D10" s="95"/>
      <c r="E10" s="95"/>
      <c r="F10" s="95"/>
      <c r="G10" s="95"/>
    </row>
    <row r="11" spans="1:7" x14ac:dyDescent="0.25">
      <c r="A11" s="95"/>
      <c r="B11" s="95"/>
      <c r="C11" s="95"/>
      <c r="D11" s="95"/>
      <c r="E11" s="95"/>
      <c r="F11" s="95"/>
      <c r="G11" s="95"/>
    </row>
  </sheetData>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C2:F9"/>
  <sheetViews>
    <sheetView showGridLines="0" zoomScaleNormal="100" workbookViewId="0">
      <selection activeCell="B6" sqref="B6"/>
    </sheetView>
  </sheetViews>
  <sheetFormatPr defaultRowHeight="15" x14ac:dyDescent="0.25"/>
  <cols>
    <col min="3" max="3" width="18.7109375" bestFit="1" customWidth="1"/>
    <col min="4" max="4" width="1.85546875" customWidth="1"/>
    <col min="5" max="5" width="38.85546875" customWidth="1"/>
  </cols>
  <sheetData>
    <row r="2" spans="3:6" x14ac:dyDescent="0.25">
      <c r="C2" s="5" t="s">
        <v>11</v>
      </c>
      <c r="D2" s="1" t="s">
        <v>22</v>
      </c>
      <c r="E2" s="1" t="s">
        <v>150</v>
      </c>
    </row>
    <row r="3" spans="3:6" x14ac:dyDescent="0.25">
      <c r="C3" s="5" t="s">
        <v>90</v>
      </c>
      <c r="D3" s="1" t="s">
        <v>22</v>
      </c>
      <c r="E3" s="1" t="s">
        <v>151</v>
      </c>
    </row>
    <row r="4" spans="3:6" x14ac:dyDescent="0.25">
      <c r="C4" s="5" t="s">
        <v>12</v>
      </c>
      <c r="D4" s="1" t="s">
        <v>22</v>
      </c>
      <c r="E4" s="4" t="s">
        <v>152</v>
      </c>
    </row>
    <row r="5" spans="3:6" x14ac:dyDescent="0.25">
      <c r="C5" s="5" t="s">
        <v>13</v>
      </c>
      <c r="D5" s="1"/>
      <c r="E5" s="1" t="s">
        <v>153</v>
      </c>
    </row>
    <row r="6" spans="3:6" x14ac:dyDescent="0.25">
      <c r="C6" s="5" t="s">
        <v>14</v>
      </c>
      <c r="D6" s="1"/>
      <c r="E6" s="1" t="s">
        <v>154</v>
      </c>
    </row>
    <row r="7" spans="3:6" x14ac:dyDescent="0.25">
      <c r="C7" s="5" t="s">
        <v>15</v>
      </c>
      <c r="D7" s="1"/>
      <c r="E7" s="1" t="s">
        <v>149</v>
      </c>
      <c r="F7" t="s">
        <v>30</v>
      </c>
    </row>
    <row r="8" spans="3:6" x14ac:dyDescent="0.25">
      <c r="C8" s="5" t="s">
        <v>18</v>
      </c>
      <c r="D8" s="1"/>
      <c r="E8" s="1" t="s">
        <v>20</v>
      </c>
    </row>
    <row r="9" spans="3:6" x14ac:dyDescent="0.25">
      <c r="C9" s="37" t="s">
        <v>64</v>
      </c>
      <c r="D9" s="1"/>
      <c r="E9" s="1" t="s">
        <v>66</v>
      </c>
    </row>
  </sheetData>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0000000}">
          <x14:formula1>
            <xm:f>Master!$A$3:$A$3</xm:f>
          </x14:formula1>
          <xm:sqref>E8</xm:sqref>
        </x14:dataValidation>
        <x14:dataValidation type="list" allowBlank="1" showInputMessage="1" showErrorMessage="1" xr:uid="{00000000-0002-0000-0300-000001000000}">
          <x14:formula1>
            <xm:f>Master!$D$46:$D$50</xm:f>
          </x14:formula1>
          <xm:sqref>E9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F306"/>
  <sheetViews>
    <sheetView showGridLines="0" zoomScale="80" zoomScaleNormal="80" workbookViewId="0">
      <selection activeCell="B6" sqref="B6"/>
    </sheetView>
  </sheetViews>
  <sheetFormatPr defaultRowHeight="15" x14ac:dyDescent="0.25"/>
  <cols>
    <col min="2" max="2" width="53.5703125" style="16" customWidth="1"/>
    <col min="3" max="3" width="17.42578125" bestFit="1" customWidth="1"/>
    <col min="4" max="4" width="12.7109375" customWidth="1"/>
    <col min="5" max="5" width="15" bestFit="1" customWidth="1"/>
    <col min="6" max="6" width="16" customWidth="1"/>
  </cols>
  <sheetData>
    <row r="1" spans="1:6" ht="15.75" x14ac:dyDescent="0.25">
      <c r="C1" s="36" t="s">
        <v>88</v>
      </c>
      <c r="D1" s="35" t="str">
        <f>Summary!E2</f>
        <v>&lt;Client/Prospect Name&gt;</v>
      </c>
      <c r="E1" s="35"/>
      <c r="F1" s="103"/>
    </row>
    <row r="2" spans="1:6" x14ac:dyDescent="0.25">
      <c r="C2" s="36" t="s">
        <v>91</v>
      </c>
      <c r="D2" s="35" t="str">
        <f>Summary!E3</f>
        <v>&lt;Project/Requirement &gt;</v>
      </c>
      <c r="E2" s="35"/>
    </row>
    <row r="3" spans="1:6" x14ac:dyDescent="0.25">
      <c r="E3" s="18" t="s">
        <v>30</v>
      </c>
      <c r="F3" s="18" t="s">
        <v>30</v>
      </c>
    </row>
    <row r="4" spans="1:6" ht="21" x14ac:dyDescent="0.35">
      <c r="B4" s="117" t="s">
        <v>92</v>
      </c>
      <c r="C4" s="118"/>
      <c r="D4" s="118"/>
      <c r="E4" s="118"/>
      <c r="F4" s="119"/>
    </row>
    <row r="6" spans="1:6" ht="36.75" customHeight="1" x14ac:dyDescent="0.25">
      <c r="A6" s="5" t="s">
        <v>1</v>
      </c>
      <c r="B6" s="14" t="s">
        <v>3</v>
      </c>
      <c r="C6" s="5" t="s">
        <v>4</v>
      </c>
      <c r="D6" s="5" t="s">
        <v>5</v>
      </c>
      <c r="E6" s="13" t="str">
        <f>CONCATENATE("Unit Effort (",Summary!E8,")")</f>
        <v>Unit Effort (Days)</v>
      </c>
      <c r="F6" s="14" t="str">
        <f>CONCATENATE("Estimated Efforts (",Summary!E8,")")</f>
        <v>Estimated Efforts (Days)</v>
      </c>
    </row>
    <row r="7" spans="1:6" x14ac:dyDescent="0.25">
      <c r="A7" s="1">
        <v>1</v>
      </c>
      <c r="B7" s="17"/>
      <c r="C7" s="8" t="s">
        <v>7</v>
      </c>
      <c r="D7" s="1">
        <v>10</v>
      </c>
      <c r="E7" s="7">
        <f>VLOOKUP(C7,Master!$C$1:$G$6,MATCH(Summary!$E$7,Master!$D$1:$G$1)+1,FALSE)</f>
        <v>3</v>
      </c>
      <c r="F7" s="1">
        <f>E7*D7</f>
        <v>30</v>
      </c>
    </row>
    <row r="8" spans="1:6" x14ac:dyDescent="0.25">
      <c r="A8" s="1">
        <v>2</v>
      </c>
      <c r="B8" s="17"/>
      <c r="C8" s="8" t="s">
        <v>6</v>
      </c>
      <c r="D8" s="1">
        <v>0</v>
      </c>
      <c r="E8" s="7">
        <f>VLOOKUP(C8,Master!$C$1:$G$6,MATCH(Summary!$E$7,Master!$D$1:$G$1)+1,FALSE)</f>
        <v>0</v>
      </c>
      <c r="F8" s="1">
        <f t="shared" ref="F8:F71" si="0">E8*D8</f>
        <v>0</v>
      </c>
    </row>
    <row r="9" spans="1:6" x14ac:dyDescent="0.25">
      <c r="A9" s="1">
        <v>3</v>
      </c>
      <c r="B9" s="17"/>
      <c r="C9" s="8" t="s">
        <v>6</v>
      </c>
      <c r="D9" s="1">
        <v>0</v>
      </c>
      <c r="E9" s="7">
        <f>VLOOKUP(C9,Master!$C$1:$G$6,MATCH(Summary!$E$7,Master!$D$1:$G$1)+1,FALSE)</f>
        <v>0</v>
      </c>
      <c r="F9" s="1">
        <f t="shared" si="0"/>
        <v>0</v>
      </c>
    </row>
    <row r="10" spans="1:6" x14ac:dyDescent="0.25">
      <c r="A10" s="1">
        <v>4</v>
      </c>
      <c r="B10" s="17"/>
      <c r="C10" s="8" t="s">
        <v>6</v>
      </c>
      <c r="D10" s="1">
        <v>0</v>
      </c>
      <c r="E10" s="7">
        <f>VLOOKUP(C10,Master!$C$1:$G$6,MATCH(Summary!$E$7,Master!$D$1:$G$1)+1,FALSE)</f>
        <v>0</v>
      </c>
      <c r="F10" s="1">
        <f t="shared" si="0"/>
        <v>0</v>
      </c>
    </row>
    <row r="11" spans="1:6" x14ac:dyDescent="0.25">
      <c r="A11" s="1">
        <v>5</v>
      </c>
      <c r="B11" s="17"/>
      <c r="C11" s="8" t="s">
        <v>6</v>
      </c>
      <c r="D11" s="1">
        <v>0</v>
      </c>
      <c r="E11" s="7">
        <f>VLOOKUP(C11,Master!$C$1:$G$6,MATCH(Summary!$E$7,Master!$D$1:$G$1)+1,FALSE)</f>
        <v>0</v>
      </c>
      <c r="F11" s="1">
        <f t="shared" si="0"/>
        <v>0</v>
      </c>
    </row>
    <row r="12" spans="1:6" x14ac:dyDescent="0.25">
      <c r="A12" s="1">
        <v>6</v>
      </c>
      <c r="B12" s="17"/>
      <c r="C12" s="8" t="s">
        <v>6</v>
      </c>
      <c r="D12" s="1">
        <v>0</v>
      </c>
      <c r="E12" s="7">
        <f>VLOOKUP(C12,Master!$C$1:$G$6,MATCH(Summary!$E$7,Master!$D$1:$G$1)+1,FALSE)</f>
        <v>0</v>
      </c>
      <c r="F12" s="1">
        <f t="shared" si="0"/>
        <v>0</v>
      </c>
    </row>
    <row r="13" spans="1:6" x14ac:dyDescent="0.25">
      <c r="A13" s="1">
        <v>7</v>
      </c>
      <c r="B13" s="17"/>
      <c r="C13" s="8" t="s">
        <v>6</v>
      </c>
      <c r="D13" s="1">
        <v>0</v>
      </c>
      <c r="E13" s="7">
        <f>VLOOKUP(C13,Master!$C$1:$G$6,MATCH(Summary!$E$7,Master!$D$1:$G$1)+1,FALSE)</f>
        <v>0</v>
      </c>
      <c r="F13" s="1">
        <f t="shared" si="0"/>
        <v>0</v>
      </c>
    </row>
    <row r="14" spans="1:6" x14ac:dyDescent="0.25">
      <c r="A14" s="1">
        <v>8</v>
      </c>
      <c r="B14" s="17"/>
      <c r="C14" s="8" t="s">
        <v>6</v>
      </c>
      <c r="D14" s="1">
        <v>0</v>
      </c>
      <c r="E14" s="7">
        <f>VLOOKUP(C14,Master!$C$1:$G$6,MATCH(Summary!$E$7,Master!$D$1:$G$1)+1,FALSE)</f>
        <v>0</v>
      </c>
      <c r="F14" s="1">
        <f t="shared" si="0"/>
        <v>0</v>
      </c>
    </row>
    <row r="15" spans="1:6" x14ac:dyDescent="0.25">
      <c r="A15" s="1">
        <v>9</v>
      </c>
      <c r="B15" s="17"/>
      <c r="C15" s="8" t="s">
        <v>6</v>
      </c>
      <c r="D15" s="1">
        <v>0</v>
      </c>
      <c r="E15" s="7">
        <f>VLOOKUP(C15,Master!$C$1:$G$6,MATCH(Summary!$E$7,Master!$D$1:$G$1)+1,FALSE)</f>
        <v>0</v>
      </c>
      <c r="F15" s="1">
        <f t="shared" si="0"/>
        <v>0</v>
      </c>
    </row>
    <row r="16" spans="1:6" x14ac:dyDescent="0.25">
      <c r="A16" s="1">
        <v>10</v>
      </c>
      <c r="B16" s="17"/>
      <c r="C16" s="8" t="s">
        <v>6</v>
      </c>
      <c r="D16" s="1">
        <v>0</v>
      </c>
      <c r="E16" s="7">
        <f>VLOOKUP(C16,Master!$C$1:$G$6,MATCH(Summary!$E$7,Master!$D$1:$G$1)+1,FALSE)</f>
        <v>0</v>
      </c>
      <c r="F16" s="1">
        <f t="shared" si="0"/>
        <v>0</v>
      </c>
    </row>
    <row r="17" spans="1:6" x14ac:dyDescent="0.25">
      <c r="A17" s="1">
        <v>11</v>
      </c>
      <c r="B17" s="17"/>
      <c r="C17" s="8" t="s">
        <v>6</v>
      </c>
      <c r="D17" s="1">
        <v>0</v>
      </c>
      <c r="E17" s="7">
        <f>VLOOKUP(C17,Master!$C$1:$G$6,MATCH(Summary!$E$7,Master!$D$1:$G$1)+1,FALSE)</f>
        <v>0</v>
      </c>
      <c r="F17" s="1">
        <f t="shared" si="0"/>
        <v>0</v>
      </c>
    </row>
    <row r="18" spans="1:6" x14ac:dyDescent="0.25">
      <c r="A18" s="1">
        <v>12</v>
      </c>
      <c r="B18" s="17"/>
      <c r="C18" s="8" t="s">
        <v>6</v>
      </c>
      <c r="D18" s="1">
        <v>0</v>
      </c>
      <c r="E18" s="7">
        <f>VLOOKUP(C18,Master!$C$1:$G$6,MATCH(Summary!$E$7,Master!$D$1:$G$1)+1,FALSE)</f>
        <v>0</v>
      </c>
      <c r="F18" s="1">
        <f t="shared" si="0"/>
        <v>0</v>
      </c>
    </row>
    <row r="19" spans="1:6" x14ac:dyDescent="0.25">
      <c r="A19" s="1">
        <v>13</v>
      </c>
      <c r="B19" s="17"/>
      <c r="C19" s="8" t="s">
        <v>6</v>
      </c>
      <c r="D19" s="1">
        <v>0</v>
      </c>
      <c r="E19" s="7">
        <f>VLOOKUP(C19,Master!$C$1:$G$6,MATCH(Summary!$E$7,Master!$D$1:$G$1)+1,FALSE)</f>
        <v>0</v>
      </c>
      <c r="F19" s="1">
        <f t="shared" si="0"/>
        <v>0</v>
      </c>
    </row>
    <row r="20" spans="1:6" x14ac:dyDescent="0.25">
      <c r="A20" s="1">
        <v>14</v>
      </c>
      <c r="B20" s="17"/>
      <c r="C20" s="8" t="s">
        <v>6</v>
      </c>
      <c r="D20" s="1">
        <v>0</v>
      </c>
      <c r="E20" s="7">
        <f>VLOOKUP(C20,Master!$C$1:$G$6,MATCH(Summary!$E$7,Master!$D$1:$G$1)+1,FALSE)</f>
        <v>0</v>
      </c>
      <c r="F20" s="1">
        <f t="shared" si="0"/>
        <v>0</v>
      </c>
    </row>
    <row r="21" spans="1:6" x14ac:dyDescent="0.25">
      <c r="A21" s="1">
        <v>15</v>
      </c>
      <c r="B21" s="17"/>
      <c r="C21" s="8" t="s">
        <v>6</v>
      </c>
      <c r="D21" s="1">
        <v>0</v>
      </c>
      <c r="E21" s="7">
        <f>VLOOKUP(C21,Master!$C$1:$G$6,MATCH(Summary!$E$7,Master!$D$1:$G$1)+1,FALSE)</f>
        <v>0</v>
      </c>
      <c r="F21" s="1">
        <f t="shared" si="0"/>
        <v>0</v>
      </c>
    </row>
    <row r="22" spans="1:6" x14ac:dyDescent="0.25">
      <c r="A22" s="1">
        <v>16</v>
      </c>
      <c r="B22" s="17"/>
      <c r="C22" s="8" t="s">
        <v>6</v>
      </c>
      <c r="D22" s="1">
        <v>0</v>
      </c>
      <c r="E22" s="7">
        <f>VLOOKUP(C22,Master!$C$1:$G$6,MATCH(Summary!$E$7,Master!$D$1:$G$1)+1,FALSE)</f>
        <v>0</v>
      </c>
      <c r="F22" s="1">
        <f t="shared" si="0"/>
        <v>0</v>
      </c>
    </row>
    <row r="23" spans="1:6" x14ac:dyDescent="0.25">
      <c r="A23" s="1">
        <v>17</v>
      </c>
      <c r="B23" s="17"/>
      <c r="C23" s="8" t="s">
        <v>6</v>
      </c>
      <c r="D23" s="1">
        <v>0</v>
      </c>
      <c r="E23" s="7">
        <f>VLOOKUP(C23,Master!$C$1:$G$6,MATCH(Summary!$E$7,Master!$D$1:$G$1)+1,FALSE)</f>
        <v>0</v>
      </c>
      <c r="F23" s="1">
        <f t="shared" si="0"/>
        <v>0</v>
      </c>
    </row>
    <row r="24" spans="1:6" x14ac:dyDescent="0.25">
      <c r="A24" s="1">
        <v>18</v>
      </c>
      <c r="B24" s="17"/>
      <c r="C24" s="8" t="s">
        <v>6</v>
      </c>
      <c r="D24" s="1">
        <v>0</v>
      </c>
      <c r="E24" s="7">
        <f>VLOOKUP(C24,Master!$C$1:$G$6,MATCH(Summary!$E$7,Master!$D$1:$G$1)+1,FALSE)</f>
        <v>0</v>
      </c>
      <c r="F24" s="1">
        <f t="shared" si="0"/>
        <v>0</v>
      </c>
    </row>
    <row r="25" spans="1:6" x14ac:dyDescent="0.25">
      <c r="A25" s="1">
        <v>19</v>
      </c>
      <c r="B25" s="17"/>
      <c r="C25" s="8" t="s">
        <v>6</v>
      </c>
      <c r="D25" s="1">
        <v>0</v>
      </c>
      <c r="E25" s="7">
        <f>VLOOKUP(C25,Master!$C$1:$G$6,MATCH(Summary!$E$7,Master!$D$1:$G$1)+1,FALSE)</f>
        <v>0</v>
      </c>
      <c r="F25" s="1">
        <f t="shared" si="0"/>
        <v>0</v>
      </c>
    </row>
    <row r="26" spans="1:6" x14ac:dyDescent="0.25">
      <c r="A26" s="1">
        <v>20</v>
      </c>
      <c r="B26" s="17"/>
      <c r="C26" s="8" t="s">
        <v>6</v>
      </c>
      <c r="D26" s="1">
        <v>0</v>
      </c>
      <c r="E26" s="7">
        <f>VLOOKUP(C26,Master!$C$1:$G$6,MATCH(Summary!$E$7,Master!$D$1:$G$1)+1,FALSE)</f>
        <v>0</v>
      </c>
      <c r="F26" s="1">
        <f t="shared" si="0"/>
        <v>0</v>
      </c>
    </row>
    <row r="27" spans="1:6" x14ac:dyDescent="0.25">
      <c r="A27" s="1">
        <v>21</v>
      </c>
      <c r="B27" s="17"/>
      <c r="C27" s="8" t="s">
        <v>6</v>
      </c>
      <c r="D27" s="1">
        <v>0</v>
      </c>
      <c r="E27" s="7">
        <f>VLOOKUP(C27,Master!$C$1:$G$6,MATCH(Summary!$E$7,Master!$D$1:$G$1)+1,FALSE)</f>
        <v>0</v>
      </c>
      <c r="F27" s="1">
        <f t="shared" si="0"/>
        <v>0</v>
      </c>
    </row>
    <row r="28" spans="1:6" x14ac:dyDescent="0.25">
      <c r="A28" s="1">
        <v>22</v>
      </c>
      <c r="B28" s="17"/>
      <c r="C28" s="8" t="s">
        <v>6</v>
      </c>
      <c r="D28" s="1">
        <v>0</v>
      </c>
      <c r="E28" s="7">
        <f>VLOOKUP(C28,Master!$C$1:$G$6,MATCH(Summary!$E$7,Master!$D$1:$G$1)+1,FALSE)</f>
        <v>0</v>
      </c>
      <c r="F28" s="1">
        <f t="shared" si="0"/>
        <v>0</v>
      </c>
    </row>
    <row r="29" spans="1:6" x14ac:dyDescent="0.25">
      <c r="A29" s="1">
        <v>23</v>
      </c>
      <c r="B29" s="17"/>
      <c r="C29" s="8" t="s">
        <v>6</v>
      </c>
      <c r="D29" s="1">
        <v>0</v>
      </c>
      <c r="E29" s="7">
        <f>VLOOKUP(C29,Master!$C$1:$G$6,MATCH(Summary!$E$7,Master!$D$1:$G$1)+1,FALSE)</f>
        <v>0</v>
      </c>
      <c r="F29" s="1">
        <f t="shared" si="0"/>
        <v>0</v>
      </c>
    </row>
    <row r="30" spans="1:6" x14ac:dyDescent="0.25">
      <c r="A30" s="1">
        <v>24</v>
      </c>
      <c r="B30" s="17"/>
      <c r="C30" s="8" t="s">
        <v>6</v>
      </c>
      <c r="D30" s="1">
        <v>0</v>
      </c>
      <c r="E30" s="7">
        <f>VLOOKUP(C30,Master!$C$1:$G$6,MATCH(Summary!$E$7,Master!$D$1:$G$1)+1,FALSE)</f>
        <v>0</v>
      </c>
      <c r="F30" s="1">
        <f t="shared" si="0"/>
        <v>0</v>
      </c>
    </row>
    <row r="31" spans="1:6" x14ac:dyDescent="0.25">
      <c r="A31" s="1">
        <v>25</v>
      </c>
      <c r="B31" s="17"/>
      <c r="C31" s="8"/>
      <c r="D31" s="1">
        <v>0</v>
      </c>
      <c r="E31" s="7" t="e">
        <f>VLOOKUP(C31,Master!$C$1:$G$6,MATCH(Summary!$E$7,Master!$D$1:$G$1)+1,FALSE)</f>
        <v>#N/A</v>
      </c>
      <c r="F31" s="1" t="e">
        <f t="shared" si="0"/>
        <v>#N/A</v>
      </c>
    </row>
    <row r="32" spans="1:6" x14ac:dyDescent="0.25">
      <c r="A32" s="1">
        <v>26</v>
      </c>
      <c r="B32" s="17"/>
      <c r="C32" s="8" t="s">
        <v>6</v>
      </c>
      <c r="D32" s="1">
        <v>0</v>
      </c>
      <c r="E32" s="7">
        <f>VLOOKUP(C32,Master!$C$1:$G$6,MATCH(Summary!$E$7,Master!$D$1:$G$1)+1,FALSE)</f>
        <v>0</v>
      </c>
      <c r="F32" s="1">
        <f t="shared" si="0"/>
        <v>0</v>
      </c>
    </row>
    <row r="33" spans="1:6" x14ac:dyDescent="0.25">
      <c r="A33" s="1">
        <v>27</v>
      </c>
      <c r="B33" s="17"/>
      <c r="C33" s="8" t="s">
        <v>6</v>
      </c>
      <c r="D33" s="1">
        <v>0</v>
      </c>
      <c r="E33" s="7">
        <f>VLOOKUP(C33,Master!$C$1:$G$6,MATCH(Summary!$E$7,Master!$D$1:$G$1)+1,FALSE)</f>
        <v>0</v>
      </c>
      <c r="F33" s="1">
        <f t="shared" si="0"/>
        <v>0</v>
      </c>
    </row>
    <row r="34" spans="1:6" ht="30.75" customHeight="1" x14ac:dyDescent="0.25">
      <c r="A34" s="1">
        <v>28</v>
      </c>
      <c r="B34" s="17"/>
      <c r="C34" s="8" t="s">
        <v>6</v>
      </c>
      <c r="D34" s="1">
        <v>0</v>
      </c>
      <c r="E34" s="7">
        <f>VLOOKUP(C34,Master!$C$1:$G$6,MATCH(Summary!$E$7,Master!$D$1:$G$1)+1,FALSE)</f>
        <v>0</v>
      </c>
      <c r="F34" s="1">
        <f t="shared" si="0"/>
        <v>0</v>
      </c>
    </row>
    <row r="35" spans="1:6" x14ac:dyDescent="0.25">
      <c r="A35" s="1">
        <v>29</v>
      </c>
      <c r="B35" s="17"/>
      <c r="C35" s="8" t="s">
        <v>6</v>
      </c>
      <c r="D35" s="1">
        <v>0</v>
      </c>
      <c r="E35" s="7">
        <f>VLOOKUP(C35,Master!$C$1:$G$6,MATCH(Summary!$E$7,Master!$D$1:$G$1)+1,FALSE)</f>
        <v>0</v>
      </c>
      <c r="F35" s="1">
        <f t="shared" si="0"/>
        <v>0</v>
      </c>
    </row>
    <row r="36" spans="1:6" x14ac:dyDescent="0.25">
      <c r="A36" s="1">
        <v>30</v>
      </c>
      <c r="B36" s="17"/>
      <c r="C36" s="8" t="s">
        <v>6</v>
      </c>
      <c r="D36" s="1">
        <v>0</v>
      </c>
      <c r="E36" s="7">
        <f>VLOOKUP(C36,Master!$C$1:$G$6,MATCH(Summary!$E$7,Master!$D$1:$G$1)+1,FALSE)</f>
        <v>0</v>
      </c>
      <c r="F36" s="1">
        <f t="shared" si="0"/>
        <v>0</v>
      </c>
    </row>
    <row r="37" spans="1:6" x14ac:dyDescent="0.25">
      <c r="A37" s="1">
        <v>31</v>
      </c>
      <c r="B37" s="17"/>
      <c r="C37" s="8" t="s">
        <v>6</v>
      </c>
      <c r="D37" s="1">
        <v>0</v>
      </c>
      <c r="E37" s="7">
        <f>VLOOKUP(C37,Master!$C$1:$G$6,MATCH(Summary!$E$7,Master!$D$1:$G$1)+1,FALSE)</f>
        <v>0</v>
      </c>
      <c r="F37" s="1">
        <f t="shared" si="0"/>
        <v>0</v>
      </c>
    </row>
    <row r="38" spans="1:6" x14ac:dyDescent="0.25">
      <c r="A38" s="1">
        <v>32</v>
      </c>
      <c r="B38" s="17"/>
      <c r="C38" s="8" t="s">
        <v>6</v>
      </c>
      <c r="D38" s="1">
        <v>0</v>
      </c>
      <c r="E38" s="7">
        <f>VLOOKUP(C38,Master!$C$1:$G$6,MATCH(Summary!$E$7,Master!$D$1:$G$1)+1,FALSE)</f>
        <v>0</v>
      </c>
      <c r="F38" s="1">
        <f t="shared" si="0"/>
        <v>0</v>
      </c>
    </row>
    <row r="39" spans="1:6" x14ac:dyDescent="0.25">
      <c r="A39" s="1">
        <v>33</v>
      </c>
      <c r="B39" s="17"/>
      <c r="C39" s="8" t="s">
        <v>6</v>
      </c>
      <c r="D39" s="1">
        <v>0</v>
      </c>
      <c r="E39" s="7">
        <f>VLOOKUP(C39,Master!$C$1:$G$6,MATCH(Summary!$E$7,Master!$D$1:$G$1)+1,FALSE)</f>
        <v>0</v>
      </c>
      <c r="F39" s="1">
        <f t="shared" si="0"/>
        <v>0</v>
      </c>
    </row>
    <row r="40" spans="1:6" x14ac:dyDescent="0.25">
      <c r="A40" s="1">
        <v>34</v>
      </c>
      <c r="B40" s="17"/>
      <c r="C40" s="8" t="s">
        <v>6</v>
      </c>
      <c r="D40" s="1">
        <v>0</v>
      </c>
      <c r="E40" s="7">
        <f>VLOOKUP(C40,Master!$C$1:$G$6,MATCH(Summary!$E$7,Master!$D$1:$G$1)+1,FALSE)</f>
        <v>0</v>
      </c>
      <c r="F40" s="1">
        <f t="shared" si="0"/>
        <v>0</v>
      </c>
    </row>
    <row r="41" spans="1:6" x14ac:dyDescent="0.25">
      <c r="A41" s="1">
        <v>35</v>
      </c>
      <c r="B41" s="17"/>
      <c r="C41" s="8" t="s">
        <v>6</v>
      </c>
      <c r="D41" s="1">
        <v>0</v>
      </c>
      <c r="E41" s="7">
        <f>VLOOKUP(C41,Master!$C$1:$G$6,MATCH(Summary!$E$7,Master!$D$1:$G$1)+1,FALSE)</f>
        <v>0</v>
      </c>
      <c r="F41" s="1">
        <f t="shared" si="0"/>
        <v>0</v>
      </c>
    </row>
    <row r="42" spans="1:6" x14ac:dyDescent="0.25">
      <c r="A42" s="1">
        <v>36</v>
      </c>
      <c r="B42" s="17"/>
      <c r="C42" s="8" t="s">
        <v>6</v>
      </c>
      <c r="D42" s="1">
        <v>0</v>
      </c>
      <c r="E42" s="7">
        <f>VLOOKUP(C42,Master!$C$1:$G$6,MATCH(Summary!$E$7,Master!$D$1:$G$1)+1,FALSE)</f>
        <v>0</v>
      </c>
      <c r="F42" s="1">
        <f t="shared" si="0"/>
        <v>0</v>
      </c>
    </row>
    <row r="43" spans="1:6" x14ac:dyDescent="0.25">
      <c r="A43" s="1">
        <v>37</v>
      </c>
      <c r="B43" s="17"/>
      <c r="C43" s="8" t="s">
        <v>6</v>
      </c>
      <c r="D43" s="1">
        <v>0</v>
      </c>
      <c r="E43" s="7">
        <f>VLOOKUP(C43,Master!$C$1:$G$6,MATCH(Summary!$E$7,Master!$D$1:$G$1)+1,FALSE)</f>
        <v>0</v>
      </c>
      <c r="F43" s="1">
        <f t="shared" si="0"/>
        <v>0</v>
      </c>
    </row>
    <row r="44" spans="1:6" x14ac:dyDescent="0.25">
      <c r="A44" s="1">
        <v>38</v>
      </c>
      <c r="B44" s="17"/>
      <c r="C44" s="8" t="s">
        <v>6</v>
      </c>
      <c r="D44" s="1">
        <v>0</v>
      </c>
      <c r="E44" s="7">
        <f>VLOOKUP(C44,Master!$C$1:$G$6,MATCH(Summary!$E$7,Master!$D$1:$G$1)+1,FALSE)</f>
        <v>0</v>
      </c>
      <c r="F44" s="1">
        <f t="shared" si="0"/>
        <v>0</v>
      </c>
    </row>
    <row r="45" spans="1:6" x14ac:dyDescent="0.25">
      <c r="A45" s="1">
        <v>39</v>
      </c>
      <c r="B45" s="17"/>
      <c r="C45" s="8" t="s">
        <v>6</v>
      </c>
      <c r="D45" s="1">
        <v>0</v>
      </c>
      <c r="E45" s="7">
        <f>VLOOKUP(C45,Master!$C$1:$G$6,MATCH(Summary!$E$7,Master!$D$1:$G$1)+1,FALSE)</f>
        <v>0</v>
      </c>
      <c r="F45" s="1">
        <f t="shared" si="0"/>
        <v>0</v>
      </c>
    </row>
    <row r="46" spans="1:6" x14ac:dyDescent="0.25">
      <c r="A46" s="1">
        <v>40</v>
      </c>
      <c r="B46" s="17"/>
      <c r="C46" s="8" t="s">
        <v>6</v>
      </c>
      <c r="D46" s="1">
        <v>0</v>
      </c>
      <c r="E46" s="7">
        <f>VLOOKUP(C46,Master!$C$1:$G$6,MATCH(Summary!$E$7,Master!$D$1:$G$1)+1,FALSE)</f>
        <v>0</v>
      </c>
      <c r="F46" s="1">
        <f t="shared" si="0"/>
        <v>0</v>
      </c>
    </row>
    <row r="47" spans="1:6" x14ac:dyDescent="0.25">
      <c r="A47" s="1">
        <v>41</v>
      </c>
      <c r="B47" s="17"/>
      <c r="C47" s="8" t="s">
        <v>6</v>
      </c>
      <c r="D47" s="1">
        <v>0</v>
      </c>
      <c r="E47" s="7">
        <f>VLOOKUP(C47,Master!$C$1:$G$6,MATCH(Summary!$E$7,Master!$D$1:$G$1)+1,FALSE)</f>
        <v>0</v>
      </c>
      <c r="F47" s="1">
        <f t="shared" si="0"/>
        <v>0</v>
      </c>
    </row>
    <row r="48" spans="1:6" x14ac:dyDescent="0.25">
      <c r="A48" s="1">
        <v>42</v>
      </c>
      <c r="B48" s="17"/>
      <c r="C48" s="8" t="s">
        <v>6</v>
      </c>
      <c r="D48" s="1">
        <v>0</v>
      </c>
      <c r="E48" s="7">
        <f>VLOOKUP(C48,Master!$C$1:$G$6,MATCH(Summary!$E$7,Master!$D$1:$G$1)+1,FALSE)</f>
        <v>0</v>
      </c>
      <c r="F48" s="1">
        <f t="shared" si="0"/>
        <v>0</v>
      </c>
    </row>
    <row r="49" spans="1:6" x14ac:dyDescent="0.25">
      <c r="A49" s="1">
        <v>43</v>
      </c>
      <c r="B49" s="17"/>
      <c r="C49" s="8" t="s">
        <v>6</v>
      </c>
      <c r="D49" s="1">
        <v>0</v>
      </c>
      <c r="E49" s="7">
        <f>VLOOKUP(C49,Master!$C$1:$G$6,MATCH(Summary!$E$7,Master!$D$1:$G$1)+1,FALSE)</f>
        <v>0</v>
      </c>
      <c r="F49" s="1">
        <f t="shared" si="0"/>
        <v>0</v>
      </c>
    </row>
    <row r="50" spans="1:6" x14ac:dyDescent="0.25">
      <c r="A50" s="1">
        <v>44</v>
      </c>
      <c r="B50" s="17"/>
      <c r="C50" s="8" t="s">
        <v>6</v>
      </c>
      <c r="D50" s="1">
        <v>0</v>
      </c>
      <c r="E50" s="7">
        <f>VLOOKUP(C50,Master!$C$1:$G$6,MATCH(Summary!$E$7,Master!$D$1:$G$1)+1,FALSE)</f>
        <v>0</v>
      </c>
      <c r="F50" s="1">
        <f t="shared" si="0"/>
        <v>0</v>
      </c>
    </row>
    <row r="51" spans="1:6" x14ac:dyDescent="0.25">
      <c r="A51" s="1">
        <v>45</v>
      </c>
      <c r="B51" s="17"/>
      <c r="C51" s="8" t="s">
        <v>6</v>
      </c>
      <c r="D51" s="1">
        <v>0</v>
      </c>
      <c r="E51" s="7">
        <f>VLOOKUP(C51,Master!$C$1:$G$6,MATCH(Summary!$E$7,Master!$D$1:$G$1)+1,FALSE)</f>
        <v>0</v>
      </c>
      <c r="F51" s="1">
        <f t="shared" si="0"/>
        <v>0</v>
      </c>
    </row>
    <row r="52" spans="1:6" x14ac:dyDescent="0.25">
      <c r="A52" s="1">
        <v>46</v>
      </c>
      <c r="B52" s="17"/>
      <c r="C52" s="8" t="s">
        <v>6</v>
      </c>
      <c r="D52" s="1">
        <v>0</v>
      </c>
      <c r="E52" s="7">
        <f>VLOOKUP(C52,Master!$C$1:$G$6,MATCH(Summary!$E$7,Master!$D$1:$G$1)+1,FALSE)</f>
        <v>0</v>
      </c>
      <c r="F52" s="1">
        <f t="shared" si="0"/>
        <v>0</v>
      </c>
    </row>
    <row r="53" spans="1:6" x14ac:dyDescent="0.25">
      <c r="A53" s="1">
        <v>47</v>
      </c>
      <c r="B53" s="17"/>
      <c r="C53" s="8" t="s">
        <v>6</v>
      </c>
      <c r="D53" s="1">
        <v>0</v>
      </c>
      <c r="E53" s="7">
        <f>VLOOKUP(C53,Master!$C$1:$G$6,MATCH(Summary!$E$7,Master!$D$1:$G$1)+1,FALSE)</f>
        <v>0</v>
      </c>
      <c r="F53" s="1">
        <f t="shared" si="0"/>
        <v>0</v>
      </c>
    </row>
    <row r="54" spans="1:6" x14ac:dyDescent="0.25">
      <c r="A54" s="1">
        <v>48</v>
      </c>
      <c r="B54" s="17"/>
      <c r="C54" s="8" t="s">
        <v>6</v>
      </c>
      <c r="D54" s="1">
        <v>0</v>
      </c>
      <c r="E54" s="7">
        <f>VLOOKUP(C54,Master!$C$1:$G$6,MATCH(Summary!$E$7,Master!$D$1:$G$1)+1,FALSE)</f>
        <v>0</v>
      </c>
      <c r="F54" s="1">
        <f t="shared" si="0"/>
        <v>0</v>
      </c>
    </row>
    <row r="55" spans="1:6" x14ac:dyDescent="0.25">
      <c r="A55" s="1">
        <v>49</v>
      </c>
      <c r="B55" s="17"/>
      <c r="C55" s="8" t="s">
        <v>6</v>
      </c>
      <c r="D55" s="1">
        <v>0</v>
      </c>
      <c r="E55" s="7">
        <f>VLOOKUP(C55,Master!$C$1:$G$6,MATCH(Summary!$E$7,Master!$D$1:$G$1)+1,FALSE)</f>
        <v>0</v>
      </c>
      <c r="F55" s="1">
        <f t="shared" si="0"/>
        <v>0</v>
      </c>
    </row>
    <row r="56" spans="1:6" x14ac:dyDescent="0.25">
      <c r="A56" s="1">
        <v>50</v>
      </c>
      <c r="B56" s="17"/>
      <c r="C56" s="8" t="s">
        <v>6</v>
      </c>
      <c r="D56" s="1">
        <v>0</v>
      </c>
      <c r="E56" s="7">
        <f>VLOOKUP(C56,Master!$C$1:$G$6,MATCH(Summary!$E$7,Master!$D$1:$G$1)+1,FALSE)</f>
        <v>0</v>
      </c>
      <c r="F56" s="1">
        <f t="shared" si="0"/>
        <v>0</v>
      </c>
    </row>
    <row r="57" spans="1:6" x14ac:dyDescent="0.25">
      <c r="A57" s="1">
        <v>51</v>
      </c>
      <c r="B57" s="17"/>
      <c r="C57" s="8"/>
      <c r="D57" s="1">
        <v>0</v>
      </c>
      <c r="E57" s="7" t="e">
        <f>VLOOKUP(C57,Master!$C$1:$G$6,MATCH(Summary!$E$7,Master!$D$1:$G$1)+1,FALSE)</f>
        <v>#N/A</v>
      </c>
      <c r="F57" s="1" t="e">
        <f t="shared" si="0"/>
        <v>#N/A</v>
      </c>
    </row>
    <row r="58" spans="1:6" x14ac:dyDescent="0.25">
      <c r="A58" s="1">
        <v>52</v>
      </c>
      <c r="B58" s="17"/>
      <c r="C58" s="8" t="s">
        <v>6</v>
      </c>
      <c r="D58" s="1">
        <v>0</v>
      </c>
      <c r="E58" s="7">
        <f>VLOOKUP(C58,Master!$C$1:$G$6,MATCH(Summary!$E$7,Master!$D$1:$G$1)+1,FALSE)</f>
        <v>0</v>
      </c>
      <c r="F58" s="1">
        <f t="shared" si="0"/>
        <v>0</v>
      </c>
    </row>
    <row r="59" spans="1:6" x14ac:dyDescent="0.25">
      <c r="A59" s="1">
        <v>53</v>
      </c>
      <c r="B59" s="17"/>
      <c r="C59" s="8" t="s">
        <v>6</v>
      </c>
      <c r="D59" s="1">
        <v>0</v>
      </c>
      <c r="E59" s="7">
        <f>VLOOKUP(C59,Master!$C$1:$G$6,MATCH(Summary!$E$7,Master!$D$1:$G$1)+1,FALSE)</f>
        <v>0</v>
      </c>
      <c r="F59" s="1">
        <f t="shared" si="0"/>
        <v>0</v>
      </c>
    </row>
    <row r="60" spans="1:6" x14ac:dyDescent="0.25">
      <c r="A60" s="1">
        <v>54</v>
      </c>
      <c r="B60" s="17"/>
      <c r="C60" s="8" t="s">
        <v>6</v>
      </c>
      <c r="D60" s="1">
        <v>0</v>
      </c>
      <c r="E60" s="7">
        <f>VLOOKUP(C60,Master!$C$1:$G$6,MATCH(Summary!$E$7,Master!$D$1:$G$1)+1,FALSE)</f>
        <v>0</v>
      </c>
      <c r="F60" s="1">
        <f t="shared" si="0"/>
        <v>0</v>
      </c>
    </row>
    <row r="61" spans="1:6" x14ac:dyDescent="0.25">
      <c r="A61" s="1">
        <v>55</v>
      </c>
      <c r="B61" s="17"/>
      <c r="C61" s="8" t="s">
        <v>6</v>
      </c>
      <c r="D61" s="1">
        <v>0</v>
      </c>
      <c r="E61" s="7">
        <f>VLOOKUP(C61,Master!$C$1:$G$6,MATCH(Summary!$E$7,Master!$D$1:$G$1)+1,FALSE)</f>
        <v>0</v>
      </c>
      <c r="F61" s="1">
        <f t="shared" si="0"/>
        <v>0</v>
      </c>
    </row>
    <row r="62" spans="1:6" x14ac:dyDescent="0.25">
      <c r="A62" s="1">
        <v>56</v>
      </c>
      <c r="B62" s="17"/>
      <c r="C62" s="8" t="s">
        <v>6</v>
      </c>
      <c r="D62" s="1">
        <v>0</v>
      </c>
      <c r="E62" s="7">
        <f>VLOOKUP(C62,Master!$C$1:$G$6,MATCH(Summary!$E$7,Master!$D$1:$G$1)+1,FALSE)</f>
        <v>0</v>
      </c>
      <c r="F62" s="1">
        <f t="shared" si="0"/>
        <v>0</v>
      </c>
    </row>
    <row r="63" spans="1:6" x14ac:dyDescent="0.25">
      <c r="A63" s="1">
        <v>57</v>
      </c>
      <c r="B63" s="17"/>
      <c r="C63" s="8" t="s">
        <v>6</v>
      </c>
      <c r="D63" s="1">
        <v>0</v>
      </c>
      <c r="E63" s="7">
        <f>VLOOKUP(C63,Master!$C$1:$G$6,MATCH(Summary!$E$7,Master!$D$1:$G$1)+1,FALSE)</f>
        <v>0</v>
      </c>
      <c r="F63" s="1">
        <f t="shared" si="0"/>
        <v>0</v>
      </c>
    </row>
    <row r="64" spans="1:6" x14ac:dyDescent="0.25">
      <c r="A64" s="1">
        <v>58</v>
      </c>
      <c r="B64" s="17"/>
      <c r="C64" s="8" t="s">
        <v>6</v>
      </c>
      <c r="D64" s="1">
        <v>0</v>
      </c>
      <c r="E64" s="7">
        <f>VLOOKUP(C64,Master!$C$1:$G$6,MATCH(Summary!$E$7,Master!$D$1:$G$1)+1,FALSE)</f>
        <v>0</v>
      </c>
      <c r="F64" s="1">
        <f t="shared" si="0"/>
        <v>0</v>
      </c>
    </row>
    <row r="65" spans="1:6" x14ac:dyDescent="0.25">
      <c r="A65" s="1">
        <v>59</v>
      </c>
      <c r="B65" s="17"/>
      <c r="C65" s="8" t="s">
        <v>6</v>
      </c>
      <c r="D65" s="1">
        <v>0</v>
      </c>
      <c r="E65" s="7">
        <f>VLOOKUP(C65,Master!$C$1:$G$6,MATCH(Summary!$E$7,Master!$D$1:$G$1)+1,FALSE)</f>
        <v>0</v>
      </c>
      <c r="F65" s="1">
        <f t="shared" si="0"/>
        <v>0</v>
      </c>
    </row>
    <row r="66" spans="1:6" x14ac:dyDescent="0.25">
      <c r="A66" s="1">
        <v>60</v>
      </c>
      <c r="B66" s="17"/>
      <c r="C66" s="8" t="s">
        <v>6</v>
      </c>
      <c r="D66" s="1">
        <v>0</v>
      </c>
      <c r="E66" s="7">
        <f>VLOOKUP(C66,Master!$C$1:$G$6,MATCH(Summary!$E$7,Master!$D$1:$G$1)+1,FALSE)</f>
        <v>0</v>
      </c>
      <c r="F66" s="1">
        <f t="shared" si="0"/>
        <v>0</v>
      </c>
    </row>
    <row r="67" spans="1:6" x14ac:dyDescent="0.25">
      <c r="A67" s="1">
        <v>61</v>
      </c>
      <c r="B67" s="17"/>
      <c r="C67" s="8" t="s">
        <v>6</v>
      </c>
      <c r="D67" s="1">
        <v>0</v>
      </c>
      <c r="E67" s="7">
        <f>VLOOKUP(C67,Master!$C$1:$G$6,MATCH(Summary!$E$7,Master!$D$1:$G$1)+1,FALSE)</f>
        <v>0</v>
      </c>
      <c r="F67" s="1">
        <f t="shared" si="0"/>
        <v>0</v>
      </c>
    </row>
    <row r="68" spans="1:6" x14ac:dyDescent="0.25">
      <c r="A68" s="1">
        <v>62</v>
      </c>
      <c r="B68" s="17"/>
      <c r="C68" s="8" t="s">
        <v>6</v>
      </c>
      <c r="D68" s="1">
        <v>0</v>
      </c>
      <c r="E68" s="7">
        <f>VLOOKUP(C68,Master!$C$1:$G$6,MATCH(Summary!$E$7,Master!$D$1:$G$1)+1,FALSE)</f>
        <v>0</v>
      </c>
      <c r="F68" s="1">
        <f t="shared" si="0"/>
        <v>0</v>
      </c>
    </row>
    <row r="69" spans="1:6" x14ac:dyDescent="0.25">
      <c r="A69" s="1">
        <v>63</v>
      </c>
      <c r="B69" s="17"/>
      <c r="C69" s="8" t="s">
        <v>6</v>
      </c>
      <c r="D69" s="1">
        <v>0</v>
      </c>
      <c r="E69" s="7">
        <f>VLOOKUP(C69,Master!$C$1:$G$6,MATCH(Summary!$E$7,Master!$D$1:$G$1)+1,FALSE)</f>
        <v>0</v>
      </c>
      <c r="F69" s="1">
        <f t="shared" si="0"/>
        <v>0</v>
      </c>
    </row>
    <row r="70" spans="1:6" x14ac:dyDescent="0.25">
      <c r="A70" s="1">
        <v>64</v>
      </c>
      <c r="B70" s="17"/>
      <c r="C70" s="8" t="s">
        <v>6</v>
      </c>
      <c r="D70" s="1">
        <v>0</v>
      </c>
      <c r="E70" s="7">
        <f>VLOOKUP(C70,Master!$C$1:$G$6,MATCH(Summary!$E$7,Master!$D$1:$G$1)+1,FALSE)</f>
        <v>0</v>
      </c>
      <c r="F70" s="1">
        <f t="shared" si="0"/>
        <v>0</v>
      </c>
    </row>
    <row r="71" spans="1:6" x14ac:dyDescent="0.25">
      <c r="A71" s="1">
        <v>65</v>
      </c>
      <c r="B71" s="17"/>
      <c r="C71" s="8" t="s">
        <v>6</v>
      </c>
      <c r="D71" s="1">
        <v>0</v>
      </c>
      <c r="E71" s="7">
        <f>VLOOKUP(C71,Master!$C$1:$G$6,MATCH(Summary!$E$7,Master!$D$1:$G$1)+1,FALSE)</f>
        <v>0</v>
      </c>
      <c r="F71" s="1">
        <f t="shared" si="0"/>
        <v>0</v>
      </c>
    </row>
    <row r="72" spans="1:6" x14ac:dyDescent="0.25">
      <c r="A72" s="1">
        <v>66</v>
      </c>
      <c r="B72" s="17"/>
      <c r="C72" s="8" t="s">
        <v>6</v>
      </c>
      <c r="D72" s="1">
        <v>0</v>
      </c>
      <c r="E72" s="7">
        <f>VLOOKUP(C72,Master!$C$1:$G$6,MATCH(Summary!$E$7,Master!$D$1:$G$1)+1,FALSE)</f>
        <v>0</v>
      </c>
      <c r="F72" s="1">
        <f t="shared" ref="F72:F135" si="1">E72*D72</f>
        <v>0</v>
      </c>
    </row>
    <row r="73" spans="1:6" x14ac:dyDescent="0.25">
      <c r="A73" s="1">
        <v>67</v>
      </c>
      <c r="B73" s="17"/>
      <c r="C73" s="8" t="s">
        <v>6</v>
      </c>
      <c r="D73" s="1">
        <v>0</v>
      </c>
      <c r="E73" s="7">
        <f>VLOOKUP(C73,Master!$C$1:$G$6,MATCH(Summary!$E$7,Master!$D$1:$G$1)+1,FALSE)</f>
        <v>0</v>
      </c>
      <c r="F73" s="1">
        <f t="shared" si="1"/>
        <v>0</v>
      </c>
    </row>
    <row r="74" spans="1:6" x14ac:dyDescent="0.25">
      <c r="A74" s="1">
        <v>68</v>
      </c>
      <c r="B74" s="17"/>
      <c r="C74" s="8" t="s">
        <v>6</v>
      </c>
      <c r="D74" s="1">
        <v>0</v>
      </c>
      <c r="E74" s="7">
        <f>VLOOKUP(C74,Master!$C$1:$G$6,MATCH(Summary!$E$7,Master!$D$1:$G$1)+1,FALSE)</f>
        <v>0</v>
      </c>
      <c r="F74" s="1">
        <f t="shared" si="1"/>
        <v>0</v>
      </c>
    </row>
    <row r="75" spans="1:6" x14ac:dyDescent="0.25">
      <c r="A75" s="1">
        <v>69</v>
      </c>
      <c r="B75" s="17"/>
      <c r="C75" s="8" t="s">
        <v>6</v>
      </c>
      <c r="D75" s="1">
        <v>0</v>
      </c>
      <c r="E75" s="7">
        <f>VLOOKUP(C75,Master!$C$1:$G$6,MATCH(Summary!$E$7,Master!$D$1:$G$1)+1,FALSE)</f>
        <v>0</v>
      </c>
      <c r="F75" s="1">
        <f t="shared" si="1"/>
        <v>0</v>
      </c>
    </row>
    <row r="76" spans="1:6" x14ac:dyDescent="0.25">
      <c r="A76" s="1">
        <v>70</v>
      </c>
      <c r="B76" s="17"/>
      <c r="C76" s="8" t="s">
        <v>6</v>
      </c>
      <c r="D76" s="1">
        <v>0</v>
      </c>
      <c r="E76" s="7">
        <f>VLOOKUP(C76,Master!$C$1:$G$6,MATCH(Summary!$E$7,Master!$D$1:$G$1)+1,FALSE)</f>
        <v>0</v>
      </c>
      <c r="F76" s="1">
        <f t="shared" si="1"/>
        <v>0</v>
      </c>
    </row>
    <row r="77" spans="1:6" x14ac:dyDescent="0.25">
      <c r="A77" s="1">
        <v>71</v>
      </c>
      <c r="B77" s="17"/>
      <c r="C77" s="8" t="s">
        <v>6</v>
      </c>
      <c r="D77" s="1">
        <v>0</v>
      </c>
      <c r="E77" s="7">
        <f>VLOOKUP(C77,Master!$C$1:$G$6,MATCH(Summary!$E$7,Master!$D$1:$G$1)+1,FALSE)</f>
        <v>0</v>
      </c>
      <c r="F77" s="1">
        <f t="shared" si="1"/>
        <v>0</v>
      </c>
    </row>
    <row r="78" spans="1:6" x14ac:dyDescent="0.25">
      <c r="A78" s="1">
        <v>72</v>
      </c>
      <c r="B78" s="17"/>
      <c r="C78" s="8" t="s">
        <v>6</v>
      </c>
      <c r="D78" s="1">
        <v>0</v>
      </c>
      <c r="E78" s="7">
        <f>VLOOKUP(C78,Master!$C$1:$G$6,MATCH(Summary!$E$7,Master!$D$1:$G$1)+1,FALSE)</f>
        <v>0</v>
      </c>
      <c r="F78" s="1">
        <f t="shared" si="1"/>
        <v>0</v>
      </c>
    </row>
    <row r="79" spans="1:6" x14ac:dyDescent="0.25">
      <c r="A79" s="1">
        <v>73</v>
      </c>
      <c r="B79" s="17"/>
      <c r="C79" s="8" t="s">
        <v>6</v>
      </c>
      <c r="D79" s="1">
        <v>0</v>
      </c>
      <c r="E79" s="7">
        <f>VLOOKUP(C79,Master!$C$1:$G$6,MATCH(Summary!$E$7,Master!$D$1:$G$1)+1,FALSE)</f>
        <v>0</v>
      </c>
      <c r="F79" s="1">
        <f t="shared" si="1"/>
        <v>0</v>
      </c>
    </row>
    <row r="80" spans="1:6" x14ac:dyDescent="0.25">
      <c r="A80" s="1">
        <v>74</v>
      </c>
      <c r="B80" s="17"/>
      <c r="C80" s="8" t="s">
        <v>6</v>
      </c>
      <c r="D80" s="1">
        <v>0</v>
      </c>
      <c r="E80" s="7">
        <f>VLOOKUP(C80,Master!$C$1:$G$6,MATCH(Summary!$E$7,Master!$D$1:$G$1)+1,FALSE)</f>
        <v>0</v>
      </c>
      <c r="F80" s="1">
        <f t="shared" si="1"/>
        <v>0</v>
      </c>
    </row>
    <row r="81" spans="1:6" x14ac:dyDescent="0.25">
      <c r="A81" s="1">
        <v>75</v>
      </c>
      <c r="B81" s="17"/>
      <c r="C81" s="8" t="s">
        <v>6</v>
      </c>
      <c r="D81" s="1">
        <v>0</v>
      </c>
      <c r="E81" s="7">
        <f>VLOOKUP(C81,Master!$C$1:$G$6,MATCH(Summary!$E$7,Master!$D$1:$G$1)+1,FALSE)</f>
        <v>0</v>
      </c>
      <c r="F81" s="1">
        <f t="shared" si="1"/>
        <v>0</v>
      </c>
    </row>
    <row r="82" spans="1:6" x14ac:dyDescent="0.25">
      <c r="A82" s="1">
        <v>76</v>
      </c>
      <c r="B82" s="17"/>
      <c r="C82" s="8" t="s">
        <v>6</v>
      </c>
      <c r="D82" s="1">
        <v>0</v>
      </c>
      <c r="E82" s="7">
        <f>VLOOKUP(C82,Master!$C$1:$G$6,MATCH(Summary!$E$7,Master!$D$1:$G$1)+1,FALSE)</f>
        <v>0</v>
      </c>
      <c r="F82" s="1">
        <f t="shared" si="1"/>
        <v>0</v>
      </c>
    </row>
    <row r="83" spans="1:6" x14ac:dyDescent="0.25">
      <c r="A83" s="1">
        <v>77</v>
      </c>
      <c r="B83" s="17"/>
      <c r="C83" s="8" t="s">
        <v>6</v>
      </c>
      <c r="D83" s="1">
        <v>0</v>
      </c>
      <c r="E83" s="7">
        <f>VLOOKUP(C83,Master!$C$1:$G$6,MATCH(Summary!$E$7,Master!$D$1:$G$1)+1,FALSE)</f>
        <v>0</v>
      </c>
      <c r="F83" s="1">
        <f t="shared" si="1"/>
        <v>0</v>
      </c>
    </row>
    <row r="84" spans="1:6" x14ac:dyDescent="0.25">
      <c r="A84" s="1">
        <v>78</v>
      </c>
      <c r="B84" s="17"/>
      <c r="C84" s="8" t="s">
        <v>6</v>
      </c>
      <c r="D84" s="1">
        <v>0</v>
      </c>
      <c r="E84" s="7">
        <f>VLOOKUP(C84,Master!$C$1:$G$6,MATCH(Summary!$E$7,Master!$D$1:$G$1)+1,FALSE)</f>
        <v>0</v>
      </c>
      <c r="F84" s="1">
        <f t="shared" si="1"/>
        <v>0</v>
      </c>
    </row>
    <row r="85" spans="1:6" x14ac:dyDescent="0.25">
      <c r="A85" s="1">
        <v>79</v>
      </c>
      <c r="B85" s="17"/>
      <c r="C85" s="8" t="s">
        <v>6</v>
      </c>
      <c r="D85" s="1">
        <v>0</v>
      </c>
      <c r="E85" s="7">
        <f>VLOOKUP(C85,Master!$C$1:$G$6,MATCH(Summary!$E$7,Master!$D$1:$G$1)+1,FALSE)</f>
        <v>0</v>
      </c>
      <c r="F85" s="1">
        <f t="shared" si="1"/>
        <v>0</v>
      </c>
    </row>
    <row r="86" spans="1:6" x14ac:dyDescent="0.25">
      <c r="A86" s="1">
        <v>80</v>
      </c>
      <c r="B86" s="17"/>
      <c r="C86" s="8" t="s">
        <v>6</v>
      </c>
      <c r="D86" s="1">
        <v>0</v>
      </c>
      <c r="E86" s="7">
        <f>VLOOKUP(C86,Master!$C$1:$G$6,MATCH(Summary!$E$7,Master!$D$1:$G$1)+1,FALSE)</f>
        <v>0</v>
      </c>
      <c r="F86" s="1">
        <f t="shared" si="1"/>
        <v>0</v>
      </c>
    </row>
    <row r="87" spans="1:6" x14ac:dyDescent="0.25">
      <c r="A87" s="1">
        <v>81</v>
      </c>
      <c r="B87" s="17"/>
      <c r="C87" s="8" t="s">
        <v>6</v>
      </c>
      <c r="D87" s="1">
        <v>0</v>
      </c>
      <c r="E87" s="7">
        <f>VLOOKUP(C87,Master!$C$1:$G$6,MATCH(Summary!$E$7,Master!$D$1:$G$1)+1,FALSE)</f>
        <v>0</v>
      </c>
      <c r="F87" s="1">
        <f t="shared" si="1"/>
        <v>0</v>
      </c>
    </row>
    <row r="88" spans="1:6" x14ac:dyDescent="0.25">
      <c r="A88" s="1">
        <v>82</v>
      </c>
      <c r="B88" s="17"/>
      <c r="C88" s="8" t="s">
        <v>6</v>
      </c>
      <c r="D88" s="1">
        <v>0</v>
      </c>
      <c r="E88" s="7">
        <f>VLOOKUP(C88,Master!$C$1:$G$6,MATCH(Summary!$E$7,Master!$D$1:$G$1)+1,FALSE)</f>
        <v>0</v>
      </c>
      <c r="F88" s="1">
        <f t="shared" si="1"/>
        <v>0</v>
      </c>
    </row>
    <row r="89" spans="1:6" x14ac:dyDescent="0.25">
      <c r="A89" s="1">
        <v>83</v>
      </c>
      <c r="B89" s="17"/>
      <c r="C89" s="8" t="s">
        <v>6</v>
      </c>
      <c r="D89" s="1">
        <v>0</v>
      </c>
      <c r="E89" s="7">
        <f>VLOOKUP(C89,Master!$C$1:$G$6,MATCH(Summary!$E$7,Master!$D$1:$G$1)+1,FALSE)</f>
        <v>0</v>
      </c>
      <c r="F89" s="1">
        <f t="shared" si="1"/>
        <v>0</v>
      </c>
    </row>
    <row r="90" spans="1:6" x14ac:dyDescent="0.25">
      <c r="A90" s="1">
        <v>84</v>
      </c>
      <c r="B90" s="17"/>
      <c r="C90" s="8" t="s">
        <v>6</v>
      </c>
      <c r="D90" s="1">
        <v>0</v>
      </c>
      <c r="E90" s="7">
        <f>VLOOKUP(C90,Master!$C$1:$G$6,MATCH(Summary!$E$7,Master!$D$1:$G$1)+1,FALSE)</f>
        <v>0</v>
      </c>
      <c r="F90" s="1">
        <f t="shared" si="1"/>
        <v>0</v>
      </c>
    </row>
    <row r="91" spans="1:6" x14ac:dyDescent="0.25">
      <c r="A91" s="1">
        <v>85</v>
      </c>
      <c r="B91" s="17"/>
      <c r="C91" s="8" t="s">
        <v>6</v>
      </c>
      <c r="D91" s="1">
        <v>0</v>
      </c>
      <c r="E91" s="7">
        <f>VLOOKUP(C91,Master!$C$1:$G$6,MATCH(Summary!$E$7,Master!$D$1:$G$1)+1,FALSE)</f>
        <v>0</v>
      </c>
      <c r="F91" s="1">
        <f t="shared" si="1"/>
        <v>0</v>
      </c>
    </row>
    <row r="92" spans="1:6" x14ac:dyDescent="0.25">
      <c r="A92" s="1">
        <v>86</v>
      </c>
      <c r="B92" s="17"/>
      <c r="C92" s="8" t="s">
        <v>6</v>
      </c>
      <c r="D92" s="1">
        <v>0</v>
      </c>
      <c r="E92" s="7">
        <f>VLOOKUP(C92,Master!$C$1:$G$6,MATCH(Summary!$E$7,Master!$D$1:$G$1)+1,FALSE)</f>
        <v>0</v>
      </c>
      <c r="F92" s="1">
        <f t="shared" si="1"/>
        <v>0</v>
      </c>
    </row>
    <row r="93" spans="1:6" x14ac:dyDescent="0.25">
      <c r="A93" s="1">
        <v>87</v>
      </c>
      <c r="B93" s="17"/>
      <c r="C93" s="8" t="s">
        <v>6</v>
      </c>
      <c r="D93" s="1">
        <v>0</v>
      </c>
      <c r="E93" s="7">
        <f>VLOOKUP(C93,Master!$C$1:$G$6,MATCH(Summary!$E$7,Master!$D$1:$G$1)+1,FALSE)</f>
        <v>0</v>
      </c>
      <c r="F93" s="1">
        <f t="shared" si="1"/>
        <v>0</v>
      </c>
    </row>
    <row r="94" spans="1:6" x14ac:dyDescent="0.25">
      <c r="A94" s="1">
        <v>88</v>
      </c>
      <c r="B94" s="17"/>
      <c r="C94" s="8" t="s">
        <v>6</v>
      </c>
      <c r="D94" s="1">
        <v>0</v>
      </c>
      <c r="E94" s="7">
        <f>VLOOKUP(C94,Master!$C$1:$G$6,MATCH(Summary!$E$7,Master!$D$1:$G$1)+1,FALSE)</f>
        <v>0</v>
      </c>
      <c r="F94" s="1">
        <f t="shared" si="1"/>
        <v>0</v>
      </c>
    </row>
    <row r="95" spans="1:6" x14ac:dyDescent="0.25">
      <c r="A95" s="1">
        <v>89</v>
      </c>
      <c r="B95" s="17"/>
      <c r="C95" s="8" t="s">
        <v>6</v>
      </c>
      <c r="D95" s="1">
        <v>0</v>
      </c>
      <c r="E95" s="7">
        <f>VLOOKUP(C95,Master!$C$1:$G$6,MATCH(Summary!$E$7,Master!$D$1:$G$1)+1,FALSE)</f>
        <v>0</v>
      </c>
      <c r="F95" s="1">
        <f t="shared" si="1"/>
        <v>0</v>
      </c>
    </row>
    <row r="96" spans="1:6" x14ac:dyDescent="0.25">
      <c r="A96" s="1">
        <v>90</v>
      </c>
      <c r="B96" s="17"/>
      <c r="C96" s="8" t="s">
        <v>6</v>
      </c>
      <c r="D96" s="1">
        <v>0</v>
      </c>
      <c r="E96" s="7">
        <f>VLOOKUP(C96,Master!$C$1:$G$6,MATCH(Summary!$E$7,Master!$D$1:$G$1)+1,FALSE)</f>
        <v>0</v>
      </c>
      <c r="F96" s="1">
        <f t="shared" si="1"/>
        <v>0</v>
      </c>
    </row>
    <row r="97" spans="1:6" x14ac:dyDescent="0.25">
      <c r="A97" s="1">
        <v>91</v>
      </c>
      <c r="B97" s="17"/>
      <c r="C97" s="8" t="s">
        <v>6</v>
      </c>
      <c r="D97" s="1">
        <v>0</v>
      </c>
      <c r="E97" s="7">
        <f>VLOOKUP(C97,Master!$C$1:$G$6,MATCH(Summary!$E$7,Master!$D$1:$G$1)+1,FALSE)</f>
        <v>0</v>
      </c>
      <c r="F97" s="1">
        <f t="shared" si="1"/>
        <v>0</v>
      </c>
    </row>
    <row r="98" spans="1:6" x14ac:dyDescent="0.25">
      <c r="A98" s="1">
        <v>92</v>
      </c>
      <c r="B98" s="17"/>
      <c r="C98" s="8" t="s">
        <v>6</v>
      </c>
      <c r="D98" s="1">
        <v>0</v>
      </c>
      <c r="E98" s="7">
        <f>VLOOKUP(C98,Master!$C$1:$G$6,MATCH(Summary!$E$7,Master!$D$1:$G$1)+1,FALSE)</f>
        <v>0</v>
      </c>
      <c r="F98" s="1">
        <f t="shared" si="1"/>
        <v>0</v>
      </c>
    </row>
    <row r="99" spans="1:6" x14ac:dyDescent="0.25">
      <c r="A99" s="1">
        <v>93</v>
      </c>
      <c r="B99" s="17"/>
      <c r="C99" s="8" t="s">
        <v>6</v>
      </c>
      <c r="D99" s="1">
        <v>0</v>
      </c>
      <c r="E99" s="7">
        <f>VLOOKUP(C99,Master!$C$1:$G$6,MATCH(Summary!$E$7,Master!$D$1:$G$1)+1,FALSE)</f>
        <v>0</v>
      </c>
      <c r="F99" s="1">
        <f t="shared" si="1"/>
        <v>0</v>
      </c>
    </row>
    <row r="100" spans="1:6" x14ac:dyDescent="0.25">
      <c r="A100" s="1">
        <v>94</v>
      </c>
      <c r="B100" s="17"/>
      <c r="C100" s="8" t="s">
        <v>6</v>
      </c>
      <c r="D100" s="1">
        <v>0</v>
      </c>
      <c r="E100" s="7">
        <f>VLOOKUP(C100,Master!$C$1:$G$6,MATCH(Summary!$E$7,Master!$D$1:$G$1)+1,FALSE)</f>
        <v>0</v>
      </c>
      <c r="F100" s="1">
        <f t="shared" si="1"/>
        <v>0</v>
      </c>
    </row>
    <row r="101" spans="1:6" x14ac:dyDescent="0.25">
      <c r="A101" s="1">
        <v>95</v>
      </c>
      <c r="B101" s="17"/>
      <c r="C101" s="8" t="s">
        <v>6</v>
      </c>
      <c r="D101" s="1">
        <v>0</v>
      </c>
      <c r="E101" s="7">
        <f>VLOOKUP(C101,Master!$C$1:$G$6,MATCH(Summary!$E$7,Master!$D$1:$G$1)+1,FALSE)</f>
        <v>0</v>
      </c>
      <c r="F101" s="1">
        <f t="shared" si="1"/>
        <v>0</v>
      </c>
    </row>
    <row r="102" spans="1:6" x14ac:dyDescent="0.25">
      <c r="A102" s="1">
        <v>96</v>
      </c>
      <c r="B102" s="17"/>
      <c r="C102" s="8" t="s">
        <v>6</v>
      </c>
      <c r="D102" s="1">
        <v>0</v>
      </c>
      <c r="E102" s="7">
        <f>VLOOKUP(C102,Master!$C$1:$G$6,MATCH(Summary!$E$7,Master!$D$1:$G$1)+1,FALSE)</f>
        <v>0</v>
      </c>
      <c r="F102" s="1">
        <f t="shared" si="1"/>
        <v>0</v>
      </c>
    </row>
    <row r="103" spans="1:6" x14ac:dyDescent="0.25">
      <c r="A103" s="1">
        <v>97</v>
      </c>
      <c r="B103" s="17"/>
      <c r="C103" s="8" t="s">
        <v>6</v>
      </c>
      <c r="D103" s="1">
        <v>0</v>
      </c>
      <c r="E103" s="7">
        <f>VLOOKUP(C103,Master!$C$1:$G$6,MATCH(Summary!$E$7,Master!$D$1:$G$1)+1,FALSE)</f>
        <v>0</v>
      </c>
      <c r="F103" s="1">
        <f t="shared" si="1"/>
        <v>0</v>
      </c>
    </row>
    <row r="104" spans="1:6" x14ac:dyDescent="0.25">
      <c r="A104" s="1">
        <v>98</v>
      </c>
      <c r="B104" s="17"/>
      <c r="C104" s="8" t="s">
        <v>6</v>
      </c>
      <c r="D104" s="1">
        <v>0</v>
      </c>
      <c r="E104" s="7">
        <f>VLOOKUP(C104,Master!$C$1:$G$6,MATCH(Summary!$E$7,Master!$D$1:$G$1)+1,FALSE)</f>
        <v>0</v>
      </c>
      <c r="F104" s="1">
        <f t="shared" si="1"/>
        <v>0</v>
      </c>
    </row>
    <row r="105" spans="1:6" x14ac:dyDescent="0.25">
      <c r="A105" s="1">
        <v>99</v>
      </c>
      <c r="B105" s="17"/>
      <c r="C105" s="8" t="s">
        <v>6</v>
      </c>
      <c r="D105" s="1">
        <v>0</v>
      </c>
      <c r="E105" s="7">
        <f>VLOOKUP(C105,Master!$C$1:$G$6,MATCH(Summary!$E$7,Master!$D$1:$G$1)+1,FALSE)</f>
        <v>0</v>
      </c>
      <c r="F105" s="1">
        <f t="shared" si="1"/>
        <v>0</v>
      </c>
    </row>
    <row r="106" spans="1:6" x14ac:dyDescent="0.25">
      <c r="A106" s="1">
        <v>100</v>
      </c>
      <c r="B106" s="17"/>
      <c r="C106" s="8" t="s">
        <v>6</v>
      </c>
      <c r="D106" s="1">
        <v>0</v>
      </c>
      <c r="E106" s="7">
        <f>VLOOKUP(C106,Master!$C$1:$G$6,MATCH(Summary!$E$7,Master!$D$1:$G$1)+1,FALSE)</f>
        <v>0</v>
      </c>
      <c r="F106" s="1">
        <f t="shared" si="1"/>
        <v>0</v>
      </c>
    </row>
    <row r="107" spans="1:6" x14ac:dyDescent="0.25">
      <c r="A107" s="1">
        <v>101</v>
      </c>
      <c r="B107" s="17"/>
      <c r="C107" s="8" t="s">
        <v>6</v>
      </c>
      <c r="D107" s="1">
        <v>0</v>
      </c>
      <c r="E107" s="7">
        <f>VLOOKUP(C107,Master!$C$1:$G$6,MATCH(Summary!$E$7,Master!$D$1:$G$1)+1,FALSE)</f>
        <v>0</v>
      </c>
      <c r="F107" s="1">
        <f t="shared" si="1"/>
        <v>0</v>
      </c>
    </row>
    <row r="108" spans="1:6" x14ac:dyDescent="0.25">
      <c r="A108" s="1">
        <v>102</v>
      </c>
      <c r="B108" s="17"/>
      <c r="C108" s="8" t="s">
        <v>6</v>
      </c>
      <c r="D108" s="1">
        <v>0</v>
      </c>
      <c r="E108" s="7">
        <f>VLOOKUP(C108,Master!$C$1:$G$6,MATCH(Summary!$E$7,Master!$D$1:$G$1)+1,FALSE)</f>
        <v>0</v>
      </c>
      <c r="F108" s="1">
        <f t="shared" si="1"/>
        <v>0</v>
      </c>
    </row>
    <row r="109" spans="1:6" x14ac:dyDescent="0.25">
      <c r="A109" s="1">
        <v>103</v>
      </c>
      <c r="B109" s="17"/>
      <c r="C109" s="8" t="s">
        <v>6</v>
      </c>
      <c r="D109" s="1">
        <v>0</v>
      </c>
      <c r="E109" s="7">
        <f>VLOOKUP(C109,Master!$C$1:$G$6,MATCH(Summary!$E$7,Master!$D$1:$G$1)+1,FALSE)</f>
        <v>0</v>
      </c>
      <c r="F109" s="1">
        <f t="shared" si="1"/>
        <v>0</v>
      </c>
    </row>
    <row r="110" spans="1:6" x14ac:dyDescent="0.25">
      <c r="A110" s="1">
        <v>104</v>
      </c>
      <c r="B110" s="17"/>
      <c r="C110" s="8" t="s">
        <v>6</v>
      </c>
      <c r="D110" s="1">
        <v>0</v>
      </c>
      <c r="E110" s="7">
        <f>VLOOKUP(C110,Master!$C$1:$G$6,MATCH(Summary!$E$7,Master!$D$1:$G$1)+1,FALSE)</f>
        <v>0</v>
      </c>
      <c r="F110" s="1">
        <f t="shared" si="1"/>
        <v>0</v>
      </c>
    </row>
    <row r="111" spans="1:6" x14ac:dyDescent="0.25">
      <c r="A111" s="1">
        <v>105</v>
      </c>
      <c r="B111" s="17"/>
      <c r="C111" s="8" t="s">
        <v>6</v>
      </c>
      <c r="D111" s="1">
        <v>0</v>
      </c>
      <c r="E111" s="7">
        <f>VLOOKUP(C111,Master!$C$1:$G$6,MATCH(Summary!$E$7,Master!$D$1:$G$1)+1,FALSE)</f>
        <v>0</v>
      </c>
      <c r="F111" s="1">
        <f t="shared" si="1"/>
        <v>0</v>
      </c>
    </row>
    <row r="112" spans="1:6" x14ac:dyDescent="0.25">
      <c r="A112" s="1">
        <v>106</v>
      </c>
      <c r="B112" s="17"/>
      <c r="C112" s="8" t="s">
        <v>6</v>
      </c>
      <c r="D112" s="1">
        <v>0</v>
      </c>
      <c r="E112" s="7">
        <f>VLOOKUP(C112,Master!$C$1:$G$6,MATCH(Summary!$E$7,Master!$D$1:$G$1)+1,FALSE)</f>
        <v>0</v>
      </c>
      <c r="F112" s="1">
        <f t="shared" si="1"/>
        <v>0</v>
      </c>
    </row>
    <row r="113" spans="1:6" x14ac:dyDescent="0.25">
      <c r="A113" s="1">
        <v>107</v>
      </c>
      <c r="B113" s="17"/>
      <c r="C113" s="8" t="s">
        <v>6</v>
      </c>
      <c r="D113" s="1">
        <v>0</v>
      </c>
      <c r="E113" s="7">
        <f>VLOOKUP(C113,Master!$C$1:$G$6,MATCH(Summary!$E$7,Master!$D$1:$G$1)+1,FALSE)</f>
        <v>0</v>
      </c>
      <c r="F113" s="1">
        <f t="shared" si="1"/>
        <v>0</v>
      </c>
    </row>
    <row r="114" spans="1:6" x14ac:dyDescent="0.25">
      <c r="A114" s="1">
        <v>108</v>
      </c>
      <c r="B114" s="17"/>
      <c r="C114" s="8" t="s">
        <v>6</v>
      </c>
      <c r="D114" s="1">
        <v>0</v>
      </c>
      <c r="E114" s="7">
        <f>VLOOKUP(C114,Master!$C$1:$G$6,MATCH(Summary!$E$7,Master!$D$1:$G$1)+1,FALSE)</f>
        <v>0</v>
      </c>
      <c r="F114" s="1">
        <f t="shared" si="1"/>
        <v>0</v>
      </c>
    </row>
    <row r="115" spans="1:6" x14ac:dyDescent="0.25">
      <c r="A115" s="1">
        <v>109</v>
      </c>
      <c r="B115" s="17"/>
      <c r="C115" s="8" t="s">
        <v>6</v>
      </c>
      <c r="D115" s="1">
        <v>0</v>
      </c>
      <c r="E115" s="7">
        <f>VLOOKUP(C115,Master!$C$1:$G$6,MATCH(Summary!$E$7,Master!$D$1:$G$1)+1,FALSE)</f>
        <v>0</v>
      </c>
      <c r="F115" s="1">
        <f t="shared" si="1"/>
        <v>0</v>
      </c>
    </row>
    <row r="116" spans="1:6" x14ac:dyDescent="0.25">
      <c r="A116" s="1">
        <v>110</v>
      </c>
      <c r="B116" s="17"/>
      <c r="C116" s="8" t="s">
        <v>6</v>
      </c>
      <c r="D116" s="1">
        <v>0</v>
      </c>
      <c r="E116" s="7">
        <f>VLOOKUP(C116,Master!$C$1:$G$6,MATCH(Summary!$E$7,Master!$D$1:$G$1)+1,FALSE)</f>
        <v>0</v>
      </c>
      <c r="F116" s="1">
        <f t="shared" si="1"/>
        <v>0</v>
      </c>
    </row>
    <row r="117" spans="1:6" x14ac:dyDescent="0.25">
      <c r="A117" s="1">
        <v>111</v>
      </c>
      <c r="B117" s="17"/>
      <c r="C117" s="8" t="s">
        <v>6</v>
      </c>
      <c r="D117" s="1">
        <v>0</v>
      </c>
      <c r="E117" s="7">
        <f>VLOOKUP(C117,Master!$C$1:$G$6,MATCH(Summary!$E$7,Master!$D$1:$G$1)+1,FALSE)</f>
        <v>0</v>
      </c>
      <c r="F117" s="1">
        <f t="shared" si="1"/>
        <v>0</v>
      </c>
    </row>
    <row r="118" spans="1:6" x14ac:dyDescent="0.25">
      <c r="A118" s="1">
        <v>112</v>
      </c>
      <c r="B118" s="17"/>
      <c r="C118" s="8" t="s">
        <v>6</v>
      </c>
      <c r="D118" s="1">
        <v>0</v>
      </c>
      <c r="E118" s="7">
        <f>VLOOKUP(C118,Master!$C$1:$G$6,MATCH(Summary!$E$7,Master!$D$1:$G$1)+1,FALSE)</f>
        <v>0</v>
      </c>
      <c r="F118" s="1">
        <f t="shared" si="1"/>
        <v>0</v>
      </c>
    </row>
    <row r="119" spans="1:6" x14ac:dyDescent="0.25">
      <c r="A119" s="1">
        <v>113</v>
      </c>
      <c r="B119" s="17"/>
      <c r="C119" s="8" t="s">
        <v>6</v>
      </c>
      <c r="D119" s="1">
        <v>0</v>
      </c>
      <c r="E119" s="7">
        <f>VLOOKUP(C119,Master!$C$1:$G$6,MATCH(Summary!$E$7,Master!$D$1:$G$1)+1,FALSE)</f>
        <v>0</v>
      </c>
      <c r="F119" s="1">
        <f t="shared" si="1"/>
        <v>0</v>
      </c>
    </row>
    <row r="120" spans="1:6" x14ac:dyDescent="0.25">
      <c r="A120" s="1">
        <v>114</v>
      </c>
      <c r="B120" s="17"/>
      <c r="C120" s="8" t="s">
        <v>6</v>
      </c>
      <c r="D120" s="1">
        <v>0</v>
      </c>
      <c r="E120" s="7">
        <f>VLOOKUP(C120,Master!$C$1:$G$6,MATCH(Summary!$E$7,Master!$D$1:$G$1)+1,FALSE)</f>
        <v>0</v>
      </c>
      <c r="F120" s="1">
        <f t="shared" si="1"/>
        <v>0</v>
      </c>
    </row>
    <row r="121" spans="1:6" x14ac:dyDescent="0.25">
      <c r="A121" s="1">
        <v>115</v>
      </c>
      <c r="B121" s="17"/>
      <c r="C121" s="8" t="s">
        <v>6</v>
      </c>
      <c r="D121" s="1">
        <v>0</v>
      </c>
      <c r="E121" s="7">
        <f>VLOOKUP(C121,Master!$C$1:$G$6,MATCH(Summary!$E$7,Master!$D$1:$G$1)+1,FALSE)</f>
        <v>0</v>
      </c>
      <c r="F121" s="1">
        <f t="shared" si="1"/>
        <v>0</v>
      </c>
    </row>
    <row r="122" spans="1:6" x14ac:dyDescent="0.25">
      <c r="A122" s="1">
        <v>116</v>
      </c>
      <c r="B122" s="17"/>
      <c r="C122" s="8" t="s">
        <v>6</v>
      </c>
      <c r="D122" s="1">
        <v>0</v>
      </c>
      <c r="E122" s="7">
        <f>VLOOKUP(C122,Master!$C$1:$G$6,MATCH(Summary!$E$7,Master!$D$1:$G$1)+1,FALSE)</f>
        <v>0</v>
      </c>
      <c r="F122" s="1">
        <f t="shared" si="1"/>
        <v>0</v>
      </c>
    </row>
    <row r="123" spans="1:6" x14ac:dyDescent="0.25">
      <c r="A123" s="1">
        <v>117</v>
      </c>
      <c r="B123" s="17"/>
      <c r="C123" s="8" t="s">
        <v>6</v>
      </c>
      <c r="D123" s="1">
        <v>0</v>
      </c>
      <c r="E123" s="7">
        <f>VLOOKUP(C123,Master!$C$1:$G$6,MATCH(Summary!$E$7,Master!$D$1:$G$1)+1,FALSE)</f>
        <v>0</v>
      </c>
      <c r="F123" s="1">
        <f t="shared" si="1"/>
        <v>0</v>
      </c>
    </row>
    <row r="124" spans="1:6" x14ac:dyDescent="0.25">
      <c r="A124" s="1">
        <v>118</v>
      </c>
      <c r="B124" s="17"/>
      <c r="C124" s="8" t="s">
        <v>6</v>
      </c>
      <c r="D124" s="1">
        <v>0</v>
      </c>
      <c r="E124" s="7">
        <f>VLOOKUP(C124,Master!$C$1:$G$6,MATCH(Summary!$E$7,Master!$D$1:$G$1)+1,FALSE)</f>
        <v>0</v>
      </c>
      <c r="F124" s="1">
        <f t="shared" si="1"/>
        <v>0</v>
      </c>
    </row>
    <row r="125" spans="1:6" x14ac:dyDescent="0.25">
      <c r="A125" s="1">
        <v>119</v>
      </c>
      <c r="B125" s="17"/>
      <c r="C125" s="8" t="s">
        <v>6</v>
      </c>
      <c r="D125" s="1">
        <v>0</v>
      </c>
      <c r="E125" s="7">
        <f>VLOOKUP(C125,Master!$C$1:$G$6,MATCH(Summary!$E$7,Master!$D$1:$G$1)+1,FALSE)</f>
        <v>0</v>
      </c>
      <c r="F125" s="1">
        <f t="shared" si="1"/>
        <v>0</v>
      </c>
    </row>
    <row r="126" spans="1:6" x14ac:dyDescent="0.25">
      <c r="A126" s="1">
        <v>120</v>
      </c>
      <c r="B126" s="17"/>
      <c r="C126" s="8" t="s">
        <v>6</v>
      </c>
      <c r="D126" s="1">
        <v>0</v>
      </c>
      <c r="E126" s="7">
        <f>VLOOKUP(C126,Master!$C$1:$G$6,MATCH(Summary!$E$7,Master!$D$1:$G$1)+1,FALSE)</f>
        <v>0</v>
      </c>
      <c r="F126" s="1">
        <f t="shared" si="1"/>
        <v>0</v>
      </c>
    </row>
    <row r="127" spans="1:6" x14ac:dyDescent="0.25">
      <c r="A127" s="1">
        <v>121</v>
      </c>
      <c r="B127" s="17"/>
      <c r="C127" s="8" t="s">
        <v>6</v>
      </c>
      <c r="D127" s="1">
        <v>0</v>
      </c>
      <c r="E127" s="7">
        <f>VLOOKUP(C127,Master!$C$1:$G$6,MATCH(Summary!$E$7,Master!$D$1:$G$1)+1,FALSE)</f>
        <v>0</v>
      </c>
      <c r="F127" s="1">
        <f t="shared" si="1"/>
        <v>0</v>
      </c>
    </row>
    <row r="128" spans="1:6" x14ac:dyDescent="0.25">
      <c r="A128" s="1">
        <v>122</v>
      </c>
      <c r="B128" s="17"/>
      <c r="C128" s="8" t="s">
        <v>6</v>
      </c>
      <c r="D128" s="1">
        <v>0</v>
      </c>
      <c r="E128" s="7">
        <f>VLOOKUP(C128,Master!$C$1:$G$6,MATCH(Summary!$E$7,Master!$D$1:$G$1)+1,FALSE)</f>
        <v>0</v>
      </c>
      <c r="F128" s="1">
        <f t="shared" si="1"/>
        <v>0</v>
      </c>
    </row>
    <row r="129" spans="1:6" x14ac:dyDescent="0.25">
      <c r="A129" s="1">
        <v>123</v>
      </c>
      <c r="B129" s="17"/>
      <c r="C129" s="8" t="s">
        <v>6</v>
      </c>
      <c r="D129" s="1">
        <v>0</v>
      </c>
      <c r="E129" s="7">
        <f>VLOOKUP(C129,Master!$C$1:$G$6,MATCH(Summary!$E$7,Master!$D$1:$G$1)+1,FALSE)</f>
        <v>0</v>
      </c>
      <c r="F129" s="1">
        <f t="shared" si="1"/>
        <v>0</v>
      </c>
    </row>
    <row r="130" spans="1:6" x14ac:dyDescent="0.25">
      <c r="A130" s="1">
        <v>124</v>
      </c>
      <c r="B130" s="17"/>
      <c r="C130" s="8" t="s">
        <v>6</v>
      </c>
      <c r="D130" s="1">
        <v>0</v>
      </c>
      <c r="E130" s="7">
        <f>VLOOKUP(C130,Master!$C$1:$G$6,MATCH(Summary!$E$7,Master!$D$1:$G$1)+1,FALSE)</f>
        <v>0</v>
      </c>
      <c r="F130" s="1">
        <f t="shared" si="1"/>
        <v>0</v>
      </c>
    </row>
    <row r="131" spans="1:6" x14ac:dyDescent="0.25">
      <c r="A131" s="1">
        <v>125</v>
      </c>
      <c r="B131" s="17"/>
      <c r="C131" s="8" t="s">
        <v>6</v>
      </c>
      <c r="D131" s="1">
        <v>0</v>
      </c>
      <c r="E131" s="7">
        <f>VLOOKUP(C131,Master!$C$1:$G$6,MATCH(Summary!$E$7,Master!$D$1:$G$1)+1,FALSE)</f>
        <v>0</v>
      </c>
      <c r="F131" s="1">
        <f t="shared" si="1"/>
        <v>0</v>
      </c>
    </row>
    <row r="132" spans="1:6" x14ac:dyDescent="0.25">
      <c r="A132" s="1">
        <v>126</v>
      </c>
      <c r="B132" s="17"/>
      <c r="C132" s="8" t="s">
        <v>6</v>
      </c>
      <c r="D132" s="1">
        <v>0</v>
      </c>
      <c r="E132" s="7">
        <f>VLOOKUP(C132,Master!$C$1:$G$6,MATCH(Summary!$E$7,Master!$D$1:$G$1)+1,FALSE)</f>
        <v>0</v>
      </c>
      <c r="F132" s="1">
        <f t="shared" si="1"/>
        <v>0</v>
      </c>
    </row>
    <row r="133" spans="1:6" x14ac:dyDescent="0.25">
      <c r="A133" s="1">
        <v>127</v>
      </c>
      <c r="B133" s="17"/>
      <c r="C133" s="8" t="s">
        <v>6</v>
      </c>
      <c r="D133" s="1">
        <v>0</v>
      </c>
      <c r="E133" s="7">
        <f>VLOOKUP(C133,Master!$C$1:$G$6,MATCH(Summary!$E$7,Master!$D$1:$G$1)+1,FALSE)</f>
        <v>0</v>
      </c>
      <c r="F133" s="1">
        <f t="shared" si="1"/>
        <v>0</v>
      </c>
    </row>
    <row r="134" spans="1:6" x14ac:dyDescent="0.25">
      <c r="A134" s="1">
        <v>128</v>
      </c>
      <c r="B134" s="17"/>
      <c r="C134" s="8" t="s">
        <v>6</v>
      </c>
      <c r="D134" s="1">
        <v>0</v>
      </c>
      <c r="E134" s="7">
        <f>VLOOKUP(C134,Master!$C$1:$G$6,MATCH(Summary!$E$7,Master!$D$1:$G$1)+1,FALSE)</f>
        <v>0</v>
      </c>
      <c r="F134" s="1">
        <f t="shared" si="1"/>
        <v>0</v>
      </c>
    </row>
    <row r="135" spans="1:6" x14ac:dyDescent="0.25">
      <c r="A135" s="1">
        <v>129</v>
      </c>
      <c r="B135" s="17"/>
      <c r="C135" s="8" t="s">
        <v>6</v>
      </c>
      <c r="D135" s="1">
        <v>0</v>
      </c>
      <c r="E135" s="7">
        <f>VLOOKUP(C135,Master!$C$1:$G$6,MATCH(Summary!$E$7,Master!$D$1:$G$1)+1,FALSE)</f>
        <v>0</v>
      </c>
      <c r="F135" s="1">
        <f t="shared" si="1"/>
        <v>0</v>
      </c>
    </row>
    <row r="136" spans="1:6" x14ac:dyDescent="0.25">
      <c r="A136" s="1">
        <v>130</v>
      </c>
      <c r="B136" s="17"/>
      <c r="C136" s="8" t="s">
        <v>6</v>
      </c>
      <c r="D136" s="1">
        <v>0</v>
      </c>
      <c r="E136" s="7">
        <f>VLOOKUP(C136,Master!$C$1:$G$6,MATCH(Summary!$E$7,Master!$D$1:$G$1)+1,FALSE)</f>
        <v>0</v>
      </c>
      <c r="F136" s="1">
        <f t="shared" ref="F136:F199" si="2">E136*D136</f>
        <v>0</v>
      </c>
    </row>
    <row r="137" spans="1:6" x14ac:dyDescent="0.25">
      <c r="A137" s="1">
        <v>131</v>
      </c>
      <c r="B137" s="17"/>
      <c r="C137" s="8" t="s">
        <v>6</v>
      </c>
      <c r="D137" s="1">
        <v>0</v>
      </c>
      <c r="E137" s="7">
        <f>VLOOKUP(C137,Master!$C$1:$G$6,MATCH(Summary!$E$7,Master!$D$1:$G$1)+1,FALSE)</f>
        <v>0</v>
      </c>
      <c r="F137" s="1">
        <f t="shared" si="2"/>
        <v>0</v>
      </c>
    </row>
    <row r="138" spans="1:6" x14ac:dyDescent="0.25">
      <c r="A138" s="1">
        <v>132</v>
      </c>
      <c r="B138" s="17"/>
      <c r="C138" s="8" t="s">
        <v>6</v>
      </c>
      <c r="D138" s="1">
        <v>0</v>
      </c>
      <c r="E138" s="7">
        <f>VLOOKUP(C138,Master!$C$1:$G$6,MATCH(Summary!$E$7,Master!$D$1:$G$1)+1,FALSE)</f>
        <v>0</v>
      </c>
      <c r="F138" s="1">
        <f t="shared" si="2"/>
        <v>0</v>
      </c>
    </row>
    <row r="139" spans="1:6" x14ac:dyDescent="0.25">
      <c r="A139" s="1">
        <v>133</v>
      </c>
      <c r="B139" s="17"/>
      <c r="C139" s="8" t="s">
        <v>6</v>
      </c>
      <c r="D139" s="1">
        <v>0</v>
      </c>
      <c r="E139" s="7">
        <f>VLOOKUP(C139,Master!$C$1:$G$6,MATCH(Summary!$E$7,Master!$D$1:$G$1)+1,FALSE)</f>
        <v>0</v>
      </c>
      <c r="F139" s="1">
        <f t="shared" si="2"/>
        <v>0</v>
      </c>
    </row>
    <row r="140" spans="1:6" x14ac:dyDescent="0.25">
      <c r="A140" s="1">
        <v>134</v>
      </c>
      <c r="B140" s="17"/>
      <c r="C140" s="8" t="s">
        <v>6</v>
      </c>
      <c r="D140" s="1">
        <v>0</v>
      </c>
      <c r="E140" s="7">
        <f>VLOOKUP(C140,Master!$C$1:$G$6,MATCH(Summary!$E$7,Master!$D$1:$G$1)+1,FALSE)</f>
        <v>0</v>
      </c>
      <c r="F140" s="1">
        <f t="shared" si="2"/>
        <v>0</v>
      </c>
    </row>
    <row r="141" spans="1:6" x14ac:dyDescent="0.25">
      <c r="A141" s="1">
        <v>135</v>
      </c>
      <c r="B141" s="17"/>
      <c r="C141" s="8" t="s">
        <v>6</v>
      </c>
      <c r="D141" s="1">
        <v>0</v>
      </c>
      <c r="E141" s="7">
        <f>VLOOKUP(C141,Master!$C$1:$G$6,MATCH(Summary!$E$7,Master!$D$1:$G$1)+1,FALSE)</f>
        <v>0</v>
      </c>
      <c r="F141" s="1">
        <f t="shared" si="2"/>
        <v>0</v>
      </c>
    </row>
    <row r="142" spans="1:6" x14ac:dyDescent="0.25">
      <c r="A142" s="1">
        <v>136</v>
      </c>
      <c r="B142" s="17"/>
      <c r="C142" s="8" t="s">
        <v>6</v>
      </c>
      <c r="D142" s="1">
        <v>0</v>
      </c>
      <c r="E142" s="7">
        <f>VLOOKUP(C142,Master!$C$1:$G$6,MATCH(Summary!$E$7,Master!$D$1:$G$1)+1,FALSE)</f>
        <v>0</v>
      </c>
      <c r="F142" s="1">
        <f t="shared" si="2"/>
        <v>0</v>
      </c>
    </row>
    <row r="143" spans="1:6" x14ac:dyDescent="0.25">
      <c r="A143" s="1">
        <v>137</v>
      </c>
      <c r="B143" s="17"/>
      <c r="C143" s="8" t="s">
        <v>6</v>
      </c>
      <c r="D143" s="1">
        <v>0</v>
      </c>
      <c r="E143" s="7">
        <f>VLOOKUP(C143,Master!$C$1:$G$6,MATCH(Summary!$E$7,Master!$D$1:$G$1)+1,FALSE)</f>
        <v>0</v>
      </c>
      <c r="F143" s="1">
        <f t="shared" si="2"/>
        <v>0</v>
      </c>
    </row>
    <row r="144" spans="1:6" x14ac:dyDescent="0.25">
      <c r="A144" s="1">
        <v>138</v>
      </c>
      <c r="B144" s="17"/>
      <c r="C144" s="8" t="s">
        <v>6</v>
      </c>
      <c r="D144" s="1">
        <v>0</v>
      </c>
      <c r="E144" s="7">
        <f>VLOOKUP(C144,Master!$C$1:$G$6,MATCH(Summary!$E$7,Master!$D$1:$G$1)+1,FALSE)</f>
        <v>0</v>
      </c>
      <c r="F144" s="1">
        <f t="shared" si="2"/>
        <v>0</v>
      </c>
    </row>
    <row r="145" spans="1:6" x14ac:dyDescent="0.25">
      <c r="A145" s="1">
        <v>139</v>
      </c>
      <c r="B145" s="17"/>
      <c r="C145" s="8" t="s">
        <v>6</v>
      </c>
      <c r="D145" s="1">
        <v>0</v>
      </c>
      <c r="E145" s="7">
        <f>VLOOKUP(C145,Master!$C$1:$G$6,MATCH(Summary!$E$7,Master!$D$1:$G$1)+1,FALSE)</f>
        <v>0</v>
      </c>
      <c r="F145" s="1">
        <f t="shared" si="2"/>
        <v>0</v>
      </c>
    </row>
    <row r="146" spans="1:6" x14ac:dyDescent="0.25">
      <c r="A146" s="1">
        <v>140</v>
      </c>
      <c r="B146" s="17"/>
      <c r="C146" s="8" t="s">
        <v>6</v>
      </c>
      <c r="D146" s="1">
        <v>0</v>
      </c>
      <c r="E146" s="7">
        <f>VLOOKUP(C146,Master!$C$1:$G$6,MATCH(Summary!$E$7,Master!$D$1:$G$1)+1,FALSE)</f>
        <v>0</v>
      </c>
      <c r="F146" s="1">
        <f t="shared" si="2"/>
        <v>0</v>
      </c>
    </row>
    <row r="147" spans="1:6" x14ac:dyDescent="0.25">
      <c r="A147" s="1">
        <v>141</v>
      </c>
      <c r="B147" s="17"/>
      <c r="C147" s="8" t="s">
        <v>6</v>
      </c>
      <c r="D147" s="1">
        <v>0</v>
      </c>
      <c r="E147" s="7">
        <f>VLOOKUP(C147,Master!$C$1:$G$6,MATCH(Summary!$E$7,Master!$D$1:$G$1)+1,FALSE)</f>
        <v>0</v>
      </c>
      <c r="F147" s="1">
        <f t="shared" si="2"/>
        <v>0</v>
      </c>
    </row>
    <row r="148" spans="1:6" x14ac:dyDescent="0.25">
      <c r="A148" s="1">
        <v>142</v>
      </c>
      <c r="B148" s="17"/>
      <c r="C148" s="8" t="s">
        <v>6</v>
      </c>
      <c r="D148" s="1">
        <v>0</v>
      </c>
      <c r="E148" s="7">
        <f>VLOOKUP(C148,Master!$C$1:$G$6,MATCH(Summary!$E$7,Master!$D$1:$G$1)+1,FALSE)</f>
        <v>0</v>
      </c>
      <c r="F148" s="1">
        <f t="shared" si="2"/>
        <v>0</v>
      </c>
    </row>
    <row r="149" spans="1:6" x14ac:dyDescent="0.25">
      <c r="A149" s="1">
        <v>143</v>
      </c>
      <c r="B149" s="17"/>
      <c r="C149" s="8" t="s">
        <v>6</v>
      </c>
      <c r="D149" s="1">
        <v>0</v>
      </c>
      <c r="E149" s="7">
        <f>VLOOKUP(C149,Master!$C$1:$G$6,MATCH(Summary!$E$7,Master!$D$1:$G$1)+1,FALSE)</f>
        <v>0</v>
      </c>
      <c r="F149" s="1">
        <f t="shared" si="2"/>
        <v>0</v>
      </c>
    </row>
    <row r="150" spans="1:6" x14ac:dyDescent="0.25">
      <c r="A150" s="1">
        <v>144</v>
      </c>
      <c r="B150" s="17"/>
      <c r="C150" s="8" t="s">
        <v>6</v>
      </c>
      <c r="D150" s="1">
        <v>0</v>
      </c>
      <c r="E150" s="7">
        <f>VLOOKUP(C150,Master!$C$1:$G$6,MATCH(Summary!$E$7,Master!$D$1:$G$1)+1,FALSE)</f>
        <v>0</v>
      </c>
      <c r="F150" s="1">
        <f t="shared" si="2"/>
        <v>0</v>
      </c>
    </row>
    <row r="151" spans="1:6" x14ac:dyDescent="0.25">
      <c r="A151" s="1">
        <v>145</v>
      </c>
      <c r="B151" s="17"/>
      <c r="C151" s="8" t="s">
        <v>6</v>
      </c>
      <c r="D151" s="1">
        <v>0</v>
      </c>
      <c r="E151" s="7">
        <f>VLOOKUP(C151,Master!$C$1:$G$6,MATCH(Summary!$E$7,Master!$D$1:$G$1)+1,FALSE)</f>
        <v>0</v>
      </c>
      <c r="F151" s="1">
        <f t="shared" si="2"/>
        <v>0</v>
      </c>
    </row>
    <row r="152" spans="1:6" x14ac:dyDescent="0.25">
      <c r="A152" s="1">
        <v>146</v>
      </c>
      <c r="B152" s="17"/>
      <c r="C152" s="8" t="s">
        <v>6</v>
      </c>
      <c r="D152" s="1">
        <v>0</v>
      </c>
      <c r="E152" s="7">
        <f>VLOOKUP(C152,Master!$C$1:$G$6,MATCH(Summary!$E$7,Master!$D$1:$G$1)+1,FALSE)</f>
        <v>0</v>
      </c>
      <c r="F152" s="1">
        <f t="shared" si="2"/>
        <v>0</v>
      </c>
    </row>
    <row r="153" spans="1:6" x14ac:dyDescent="0.25">
      <c r="A153" s="1">
        <v>147</v>
      </c>
      <c r="B153" s="17"/>
      <c r="C153" s="8" t="s">
        <v>6</v>
      </c>
      <c r="D153" s="1">
        <v>0</v>
      </c>
      <c r="E153" s="7">
        <f>VLOOKUP(C153,Master!$C$1:$G$6,MATCH(Summary!$E$7,Master!$D$1:$G$1)+1,FALSE)</f>
        <v>0</v>
      </c>
      <c r="F153" s="1">
        <f t="shared" si="2"/>
        <v>0</v>
      </c>
    </row>
    <row r="154" spans="1:6" x14ac:dyDescent="0.25">
      <c r="A154" s="1">
        <v>148</v>
      </c>
      <c r="B154" s="17"/>
      <c r="C154" s="8" t="s">
        <v>6</v>
      </c>
      <c r="D154" s="1">
        <v>0</v>
      </c>
      <c r="E154" s="7">
        <f>VLOOKUP(C154,Master!$C$1:$G$6,MATCH(Summary!$E$7,Master!$D$1:$G$1)+1,FALSE)</f>
        <v>0</v>
      </c>
      <c r="F154" s="1">
        <f t="shared" si="2"/>
        <v>0</v>
      </c>
    </row>
    <row r="155" spans="1:6" x14ac:dyDescent="0.25">
      <c r="A155" s="1">
        <v>149</v>
      </c>
      <c r="B155" s="17"/>
      <c r="C155" s="8" t="s">
        <v>6</v>
      </c>
      <c r="D155" s="1">
        <v>0</v>
      </c>
      <c r="E155" s="7">
        <f>VLOOKUP(C155,Master!$C$1:$G$6,MATCH(Summary!$E$7,Master!$D$1:$G$1)+1,FALSE)</f>
        <v>0</v>
      </c>
      <c r="F155" s="1">
        <f t="shared" si="2"/>
        <v>0</v>
      </c>
    </row>
    <row r="156" spans="1:6" x14ac:dyDescent="0.25">
      <c r="A156" s="1">
        <v>150</v>
      </c>
      <c r="B156" s="17"/>
      <c r="C156" s="8" t="s">
        <v>6</v>
      </c>
      <c r="D156" s="1">
        <v>0</v>
      </c>
      <c r="E156" s="7">
        <f>VLOOKUP(C156,Master!$C$1:$G$6,MATCH(Summary!$E$7,Master!$D$1:$G$1)+1,FALSE)</f>
        <v>0</v>
      </c>
      <c r="F156" s="1">
        <f t="shared" si="2"/>
        <v>0</v>
      </c>
    </row>
    <row r="157" spans="1:6" x14ac:dyDescent="0.25">
      <c r="A157" s="1">
        <v>151</v>
      </c>
      <c r="B157" s="17"/>
      <c r="C157" s="8" t="s">
        <v>6</v>
      </c>
      <c r="D157" s="1">
        <v>0</v>
      </c>
      <c r="E157" s="7">
        <f>VLOOKUP(C157,Master!$C$1:$G$6,MATCH(Summary!$E$7,Master!$D$1:$G$1)+1,FALSE)</f>
        <v>0</v>
      </c>
      <c r="F157" s="1">
        <f t="shared" si="2"/>
        <v>0</v>
      </c>
    </row>
    <row r="158" spans="1:6" x14ac:dyDescent="0.25">
      <c r="A158" s="1">
        <v>152</v>
      </c>
      <c r="B158" s="17"/>
      <c r="C158" s="8" t="s">
        <v>6</v>
      </c>
      <c r="D158" s="1">
        <v>0</v>
      </c>
      <c r="E158" s="7">
        <f>VLOOKUP(C158,Master!$C$1:$G$6,MATCH(Summary!$E$7,Master!$D$1:$G$1)+1,FALSE)</f>
        <v>0</v>
      </c>
      <c r="F158" s="1">
        <f t="shared" si="2"/>
        <v>0</v>
      </c>
    </row>
    <row r="159" spans="1:6" x14ac:dyDescent="0.25">
      <c r="A159" s="1">
        <v>153</v>
      </c>
      <c r="B159" s="17"/>
      <c r="C159" s="8" t="s">
        <v>6</v>
      </c>
      <c r="D159" s="1">
        <v>0</v>
      </c>
      <c r="E159" s="7">
        <f>VLOOKUP(C159,Master!$C$1:$G$6,MATCH(Summary!$E$7,Master!$D$1:$G$1)+1,FALSE)</f>
        <v>0</v>
      </c>
      <c r="F159" s="1">
        <f t="shared" si="2"/>
        <v>0</v>
      </c>
    </row>
    <row r="160" spans="1:6" x14ac:dyDescent="0.25">
      <c r="A160" s="1">
        <v>154</v>
      </c>
      <c r="B160" s="17"/>
      <c r="C160" s="8" t="s">
        <v>6</v>
      </c>
      <c r="D160" s="1">
        <v>0</v>
      </c>
      <c r="E160" s="7">
        <f>VLOOKUP(C160,Master!$C$1:$G$6,MATCH(Summary!$E$7,Master!$D$1:$G$1)+1,FALSE)</f>
        <v>0</v>
      </c>
      <c r="F160" s="1">
        <f t="shared" si="2"/>
        <v>0</v>
      </c>
    </row>
    <row r="161" spans="1:6" x14ac:dyDescent="0.25">
      <c r="A161" s="1">
        <v>155</v>
      </c>
      <c r="B161" s="17"/>
      <c r="C161" s="8" t="s">
        <v>6</v>
      </c>
      <c r="D161" s="1">
        <v>0</v>
      </c>
      <c r="E161" s="7">
        <f>VLOOKUP(C161,Master!$C$1:$G$6,MATCH(Summary!$E$7,Master!$D$1:$G$1)+1,FALSE)</f>
        <v>0</v>
      </c>
      <c r="F161" s="1">
        <f t="shared" si="2"/>
        <v>0</v>
      </c>
    </row>
    <row r="162" spans="1:6" x14ac:dyDescent="0.25">
      <c r="A162" s="1">
        <v>156</v>
      </c>
      <c r="B162" s="17"/>
      <c r="C162" s="8" t="s">
        <v>6</v>
      </c>
      <c r="D162" s="1">
        <v>0</v>
      </c>
      <c r="E162" s="7">
        <f>VLOOKUP(C162,Master!$C$1:$G$6,MATCH(Summary!$E$7,Master!$D$1:$G$1)+1,FALSE)</f>
        <v>0</v>
      </c>
      <c r="F162" s="1">
        <f t="shared" si="2"/>
        <v>0</v>
      </c>
    </row>
    <row r="163" spans="1:6" x14ac:dyDescent="0.25">
      <c r="A163" s="1">
        <v>157</v>
      </c>
      <c r="B163" s="17"/>
      <c r="C163" s="8" t="s">
        <v>6</v>
      </c>
      <c r="D163" s="1">
        <v>0</v>
      </c>
      <c r="E163" s="7">
        <f>VLOOKUP(C163,Master!$C$1:$G$6,MATCH(Summary!$E$7,Master!$D$1:$G$1)+1,FALSE)</f>
        <v>0</v>
      </c>
      <c r="F163" s="1">
        <f t="shared" si="2"/>
        <v>0</v>
      </c>
    </row>
    <row r="164" spans="1:6" x14ac:dyDescent="0.25">
      <c r="A164" s="1">
        <v>158</v>
      </c>
      <c r="B164" s="17"/>
      <c r="C164" s="8" t="s">
        <v>6</v>
      </c>
      <c r="D164" s="1">
        <v>0</v>
      </c>
      <c r="E164" s="7">
        <f>VLOOKUP(C164,Master!$C$1:$G$6,MATCH(Summary!$E$7,Master!$D$1:$G$1)+1,FALSE)</f>
        <v>0</v>
      </c>
      <c r="F164" s="1">
        <f t="shared" si="2"/>
        <v>0</v>
      </c>
    </row>
    <row r="165" spans="1:6" x14ac:dyDescent="0.25">
      <c r="A165" s="1">
        <v>159</v>
      </c>
      <c r="B165" s="17"/>
      <c r="C165" s="8" t="s">
        <v>6</v>
      </c>
      <c r="D165" s="1">
        <v>0</v>
      </c>
      <c r="E165" s="7">
        <f>VLOOKUP(C165,Master!$C$1:$G$6,MATCH(Summary!$E$7,Master!$D$1:$G$1)+1,FALSE)</f>
        <v>0</v>
      </c>
      <c r="F165" s="1">
        <f t="shared" si="2"/>
        <v>0</v>
      </c>
    </row>
    <row r="166" spans="1:6" x14ac:dyDescent="0.25">
      <c r="A166" s="1">
        <v>160</v>
      </c>
      <c r="B166" s="17"/>
      <c r="C166" s="8" t="s">
        <v>6</v>
      </c>
      <c r="D166" s="1">
        <v>0</v>
      </c>
      <c r="E166" s="7">
        <f>VLOOKUP(C166,Master!$C$1:$G$6,MATCH(Summary!$E$7,Master!$D$1:$G$1)+1,FALSE)</f>
        <v>0</v>
      </c>
      <c r="F166" s="1">
        <f t="shared" si="2"/>
        <v>0</v>
      </c>
    </row>
    <row r="167" spans="1:6" x14ac:dyDescent="0.25">
      <c r="A167" s="1">
        <v>161</v>
      </c>
      <c r="B167" s="17"/>
      <c r="C167" s="8" t="s">
        <v>6</v>
      </c>
      <c r="D167" s="1">
        <v>0</v>
      </c>
      <c r="E167" s="7">
        <f>VLOOKUP(C167,Master!$C$1:$G$6,MATCH(Summary!$E$7,Master!$D$1:$G$1)+1,FALSE)</f>
        <v>0</v>
      </c>
      <c r="F167" s="1">
        <f t="shared" si="2"/>
        <v>0</v>
      </c>
    </row>
    <row r="168" spans="1:6" x14ac:dyDescent="0.25">
      <c r="A168" s="1">
        <v>162</v>
      </c>
      <c r="B168" s="17"/>
      <c r="C168" s="8" t="s">
        <v>6</v>
      </c>
      <c r="D168" s="1">
        <v>0</v>
      </c>
      <c r="E168" s="7">
        <f>VLOOKUP(C168,Master!$C$1:$G$6,MATCH(Summary!$E$7,Master!$D$1:$G$1)+1,FALSE)</f>
        <v>0</v>
      </c>
      <c r="F168" s="1">
        <f t="shared" si="2"/>
        <v>0</v>
      </c>
    </row>
    <row r="169" spans="1:6" x14ac:dyDescent="0.25">
      <c r="A169" s="1">
        <v>163</v>
      </c>
      <c r="B169" s="17"/>
      <c r="C169" s="8" t="s">
        <v>6</v>
      </c>
      <c r="D169" s="1">
        <v>0</v>
      </c>
      <c r="E169" s="7">
        <f>VLOOKUP(C169,Master!$C$1:$G$6,MATCH(Summary!$E$7,Master!$D$1:$G$1)+1,FALSE)</f>
        <v>0</v>
      </c>
      <c r="F169" s="1">
        <f t="shared" si="2"/>
        <v>0</v>
      </c>
    </row>
    <row r="170" spans="1:6" x14ac:dyDescent="0.25">
      <c r="A170" s="1">
        <v>164</v>
      </c>
      <c r="B170" s="17"/>
      <c r="C170" s="8" t="s">
        <v>6</v>
      </c>
      <c r="D170" s="1">
        <v>0</v>
      </c>
      <c r="E170" s="7">
        <f>VLOOKUP(C170,Master!$C$1:$G$6,MATCH(Summary!$E$7,Master!$D$1:$G$1)+1,FALSE)</f>
        <v>0</v>
      </c>
      <c r="F170" s="1">
        <f t="shared" si="2"/>
        <v>0</v>
      </c>
    </row>
    <row r="171" spans="1:6" x14ac:dyDescent="0.25">
      <c r="A171" s="1">
        <v>165</v>
      </c>
      <c r="B171" s="17"/>
      <c r="C171" s="8" t="s">
        <v>6</v>
      </c>
      <c r="D171" s="1">
        <v>0</v>
      </c>
      <c r="E171" s="7">
        <f>VLOOKUP(C171,Master!$C$1:$G$6,MATCH(Summary!$E$7,Master!$D$1:$G$1)+1,FALSE)</f>
        <v>0</v>
      </c>
      <c r="F171" s="1">
        <f t="shared" si="2"/>
        <v>0</v>
      </c>
    </row>
    <row r="172" spans="1:6" x14ac:dyDescent="0.25">
      <c r="A172" s="1">
        <v>166</v>
      </c>
      <c r="B172" s="17"/>
      <c r="C172" s="8" t="s">
        <v>6</v>
      </c>
      <c r="D172" s="1">
        <v>0</v>
      </c>
      <c r="E172" s="7">
        <f>VLOOKUP(C172,Master!$C$1:$G$6,MATCH(Summary!$E$7,Master!$D$1:$G$1)+1,FALSE)</f>
        <v>0</v>
      </c>
      <c r="F172" s="1">
        <f t="shared" si="2"/>
        <v>0</v>
      </c>
    </row>
    <row r="173" spans="1:6" x14ac:dyDescent="0.25">
      <c r="A173" s="1">
        <v>167</v>
      </c>
      <c r="B173" s="17"/>
      <c r="C173" s="8" t="s">
        <v>6</v>
      </c>
      <c r="D173" s="1">
        <v>0</v>
      </c>
      <c r="E173" s="7">
        <f>VLOOKUP(C173,Master!$C$1:$G$6,MATCH(Summary!$E$7,Master!$D$1:$G$1)+1,FALSE)</f>
        <v>0</v>
      </c>
      <c r="F173" s="1">
        <f t="shared" si="2"/>
        <v>0</v>
      </c>
    </row>
    <row r="174" spans="1:6" x14ac:dyDescent="0.25">
      <c r="A174" s="1">
        <v>168</v>
      </c>
      <c r="B174" s="17"/>
      <c r="C174" s="8" t="s">
        <v>6</v>
      </c>
      <c r="D174" s="1">
        <v>0</v>
      </c>
      <c r="E174" s="7">
        <f>VLOOKUP(C174,Master!$C$1:$G$6,MATCH(Summary!$E$7,Master!$D$1:$G$1)+1,FALSE)</f>
        <v>0</v>
      </c>
      <c r="F174" s="1">
        <f t="shared" si="2"/>
        <v>0</v>
      </c>
    </row>
    <row r="175" spans="1:6" x14ac:dyDescent="0.25">
      <c r="A175" s="1">
        <v>169</v>
      </c>
      <c r="B175" s="17"/>
      <c r="C175" s="8" t="s">
        <v>6</v>
      </c>
      <c r="D175" s="1">
        <v>0</v>
      </c>
      <c r="E175" s="7">
        <f>VLOOKUP(C175,Master!$C$1:$G$6,MATCH(Summary!$E$7,Master!$D$1:$G$1)+1,FALSE)</f>
        <v>0</v>
      </c>
      <c r="F175" s="1">
        <f t="shared" si="2"/>
        <v>0</v>
      </c>
    </row>
    <row r="176" spans="1:6" x14ac:dyDescent="0.25">
      <c r="A176" s="1">
        <v>170</v>
      </c>
      <c r="B176" s="17"/>
      <c r="C176" s="8" t="s">
        <v>6</v>
      </c>
      <c r="D176" s="1">
        <v>0</v>
      </c>
      <c r="E176" s="7">
        <f>VLOOKUP(C176,Master!$C$1:$G$6,MATCH(Summary!$E$7,Master!$D$1:$G$1)+1,FALSE)</f>
        <v>0</v>
      </c>
      <c r="F176" s="1">
        <f t="shared" si="2"/>
        <v>0</v>
      </c>
    </row>
    <row r="177" spans="1:6" x14ac:dyDescent="0.25">
      <c r="A177" s="1">
        <v>171</v>
      </c>
      <c r="B177" s="17"/>
      <c r="C177" s="8" t="s">
        <v>6</v>
      </c>
      <c r="D177" s="1">
        <v>0</v>
      </c>
      <c r="E177" s="7">
        <f>VLOOKUP(C177,Master!$C$1:$G$6,MATCH(Summary!$E$7,Master!$D$1:$G$1)+1,FALSE)</f>
        <v>0</v>
      </c>
      <c r="F177" s="1">
        <f t="shared" si="2"/>
        <v>0</v>
      </c>
    </row>
    <row r="178" spans="1:6" x14ac:dyDescent="0.25">
      <c r="A178" s="1">
        <v>172</v>
      </c>
      <c r="B178" s="17"/>
      <c r="C178" s="8" t="s">
        <v>6</v>
      </c>
      <c r="D178" s="1">
        <v>0</v>
      </c>
      <c r="E178" s="7">
        <f>VLOOKUP(C178,Master!$C$1:$G$6,MATCH(Summary!$E$7,Master!$D$1:$G$1)+1,FALSE)</f>
        <v>0</v>
      </c>
      <c r="F178" s="1">
        <f t="shared" si="2"/>
        <v>0</v>
      </c>
    </row>
    <row r="179" spans="1:6" x14ac:dyDescent="0.25">
      <c r="A179" s="1">
        <v>173</v>
      </c>
      <c r="B179" s="17"/>
      <c r="C179" s="8" t="s">
        <v>6</v>
      </c>
      <c r="D179" s="1">
        <v>0</v>
      </c>
      <c r="E179" s="7">
        <f>VLOOKUP(C179,Master!$C$1:$G$6,MATCH(Summary!$E$7,Master!$D$1:$G$1)+1,FALSE)</f>
        <v>0</v>
      </c>
      <c r="F179" s="1">
        <f t="shared" si="2"/>
        <v>0</v>
      </c>
    </row>
    <row r="180" spans="1:6" x14ac:dyDescent="0.25">
      <c r="A180" s="1">
        <v>174</v>
      </c>
      <c r="B180" s="17"/>
      <c r="C180" s="8" t="s">
        <v>6</v>
      </c>
      <c r="D180" s="1">
        <v>0</v>
      </c>
      <c r="E180" s="7">
        <f>VLOOKUP(C180,Master!$C$1:$G$6,MATCH(Summary!$E$7,Master!$D$1:$G$1)+1,FALSE)</f>
        <v>0</v>
      </c>
      <c r="F180" s="1">
        <f t="shared" si="2"/>
        <v>0</v>
      </c>
    </row>
    <row r="181" spans="1:6" x14ac:dyDescent="0.25">
      <c r="A181" s="1">
        <v>175</v>
      </c>
      <c r="B181" s="17"/>
      <c r="C181" s="8" t="s">
        <v>6</v>
      </c>
      <c r="D181" s="1">
        <v>0</v>
      </c>
      <c r="E181" s="7">
        <f>VLOOKUP(C181,Master!$C$1:$G$6,MATCH(Summary!$E$7,Master!$D$1:$G$1)+1,FALSE)</f>
        <v>0</v>
      </c>
      <c r="F181" s="1">
        <f t="shared" si="2"/>
        <v>0</v>
      </c>
    </row>
    <row r="182" spans="1:6" x14ac:dyDescent="0.25">
      <c r="A182" s="1">
        <v>176</v>
      </c>
      <c r="B182" s="17"/>
      <c r="C182" s="8" t="s">
        <v>6</v>
      </c>
      <c r="D182" s="1">
        <v>0</v>
      </c>
      <c r="E182" s="7">
        <f>VLOOKUP(C182,Master!$C$1:$G$6,MATCH(Summary!$E$7,Master!$D$1:$G$1)+1,FALSE)</f>
        <v>0</v>
      </c>
      <c r="F182" s="1">
        <f t="shared" si="2"/>
        <v>0</v>
      </c>
    </row>
    <row r="183" spans="1:6" x14ac:dyDescent="0.25">
      <c r="A183" s="1">
        <v>177</v>
      </c>
      <c r="B183" s="17"/>
      <c r="C183" s="8" t="s">
        <v>6</v>
      </c>
      <c r="D183" s="1">
        <v>0</v>
      </c>
      <c r="E183" s="7">
        <f>VLOOKUP(C183,Master!$C$1:$G$6,MATCH(Summary!$E$7,Master!$D$1:$G$1)+1,FALSE)</f>
        <v>0</v>
      </c>
      <c r="F183" s="1">
        <f t="shared" si="2"/>
        <v>0</v>
      </c>
    </row>
    <row r="184" spans="1:6" x14ac:dyDescent="0.25">
      <c r="A184" s="1">
        <v>178</v>
      </c>
      <c r="B184" s="17"/>
      <c r="C184" s="8" t="s">
        <v>6</v>
      </c>
      <c r="D184" s="1">
        <v>0</v>
      </c>
      <c r="E184" s="7">
        <f>VLOOKUP(C184,Master!$C$1:$G$6,MATCH(Summary!$E$7,Master!$D$1:$G$1)+1,FALSE)</f>
        <v>0</v>
      </c>
      <c r="F184" s="1">
        <f t="shared" si="2"/>
        <v>0</v>
      </c>
    </row>
    <row r="185" spans="1:6" x14ac:dyDescent="0.25">
      <c r="A185" s="1">
        <v>179</v>
      </c>
      <c r="B185" s="17"/>
      <c r="C185" s="8" t="s">
        <v>6</v>
      </c>
      <c r="D185" s="1">
        <v>0</v>
      </c>
      <c r="E185" s="7">
        <f>VLOOKUP(C185,Master!$C$1:$G$6,MATCH(Summary!$E$7,Master!$D$1:$G$1)+1,FALSE)</f>
        <v>0</v>
      </c>
      <c r="F185" s="1">
        <f t="shared" si="2"/>
        <v>0</v>
      </c>
    </row>
    <row r="186" spans="1:6" x14ac:dyDescent="0.25">
      <c r="A186" s="1">
        <v>180</v>
      </c>
      <c r="B186" s="17"/>
      <c r="C186" s="8" t="s">
        <v>6</v>
      </c>
      <c r="D186" s="1">
        <v>0</v>
      </c>
      <c r="E186" s="7">
        <f>VLOOKUP(C186,Master!$C$1:$G$6,MATCH(Summary!$E$7,Master!$D$1:$G$1)+1,FALSE)</f>
        <v>0</v>
      </c>
      <c r="F186" s="1">
        <f t="shared" si="2"/>
        <v>0</v>
      </c>
    </row>
    <row r="187" spans="1:6" x14ac:dyDescent="0.25">
      <c r="A187" s="1">
        <v>181</v>
      </c>
      <c r="B187" s="17"/>
      <c r="C187" s="8" t="s">
        <v>6</v>
      </c>
      <c r="D187" s="1">
        <v>0</v>
      </c>
      <c r="E187" s="7">
        <f>VLOOKUP(C187,Master!$C$1:$G$6,MATCH(Summary!$E$7,Master!$D$1:$G$1)+1,FALSE)</f>
        <v>0</v>
      </c>
      <c r="F187" s="1">
        <f t="shared" si="2"/>
        <v>0</v>
      </c>
    </row>
    <row r="188" spans="1:6" x14ac:dyDescent="0.25">
      <c r="A188" s="1">
        <v>182</v>
      </c>
      <c r="B188" s="17"/>
      <c r="C188" s="8" t="s">
        <v>6</v>
      </c>
      <c r="D188" s="1">
        <v>0</v>
      </c>
      <c r="E188" s="7">
        <f>VLOOKUP(C188,Master!$C$1:$G$6,MATCH(Summary!$E$7,Master!$D$1:$G$1)+1,FALSE)</f>
        <v>0</v>
      </c>
      <c r="F188" s="1">
        <f t="shared" si="2"/>
        <v>0</v>
      </c>
    </row>
    <row r="189" spans="1:6" x14ac:dyDescent="0.25">
      <c r="A189" s="1">
        <v>183</v>
      </c>
      <c r="B189" s="17"/>
      <c r="C189" s="8" t="s">
        <v>6</v>
      </c>
      <c r="D189" s="1">
        <v>0</v>
      </c>
      <c r="E189" s="7">
        <f>VLOOKUP(C189,Master!$C$1:$G$6,MATCH(Summary!$E$7,Master!$D$1:$G$1)+1,FALSE)</f>
        <v>0</v>
      </c>
      <c r="F189" s="1">
        <f t="shared" si="2"/>
        <v>0</v>
      </c>
    </row>
    <row r="190" spans="1:6" x14ac:dyDescent="0.25">
      <c r="A190" s="1">
        <v>184</v>
      </c>
      <c r="B190" s="17"/>
      <c r="C190" s="8" t="s">
        <v>6</v>
      </c>
      <c r="D190" s="1">
        <v>0</v>
      </c>
      <c r="E190" s="7">
        <f>VLOOKUP(C190,Master!$C$1:$G$6,MATCH(Summary!$E$7,Master!$D$1:$G$1)+1,FALSE)</f>
        <v>0</v>
      </c>
      <c r="F190" s="1">
        <f t="shared" si="2"/>
        <v>0</v>
      </c>
    </row>
    <row r="191" spans="1:6" x14ac:dyDescent="0.25">
      <c r="A191" s="1">
        <v>185</v>
      </c>
      <c r="B191" s="17"/>
      <c r="C191" s="8" t="s">
        <v>6</v>
      </c>
      <c r="D191" s="1">
        <v>0</v>
      </c>
      <c r="E191" s="7">
        <f>VLOOKUP(C191,Master!$C$1:$G$6,MATCH(Summary!$E$7,Master!$D$1:$G$1)+1,FALSE)</f>
        <v>0</v>
      </c>
      <c r="F191" s="1">
        <f t="shared" si="2"/>
        <v>0</v>
      </c>
    </row>
    <row r="192" spans="1:6" x14ac:dyDescent="0.25">
      <c r="A192" s="1">
        <v>186</v>
      </c>
      <c r="B192" s="17"/>
      <c r="C192" s="8" t="s">
        <v>6</v>
      </c>
      <c r="D192" s="1">
        <v>0</v>
      </c>
      <c r="E192" s="7">
        <f>VLOOKUP(C192,Master!$C$1:$G$6,MATCH(Summary!$E$7,Master!$D$1:$G$1)+1,FALSE)</f>
        <v>0</v>
      </c>
      <c r="F192" s="1">
        <f t="shared" si="2"/>
        <v>0</v>
      </c>
    </row>
    <row r="193" spans="1:6" x14ac:dyDescent="0.25">
      <c r="A193" s="1">
        <v>187</v>
      </c>
      <c r="B193" s="17"/>
      <c r="C193" s="8" t="s">
        <v>6</v>
      </c>
      <c r="D193" s="1">
        <v>0</v>
      </c>
      <c r="E193" s="7">
        <f>VLOOKUP(C193,Master!$C$1:$G$6,MATCH(Summary!$E$7,Master!$D$1:$G$1)+1,FALSE)</f>
        <v>0</v>
      </c>
      <c r="F193" s="1">
        <f t="shared" si="2"/>
        <v>0</v>
      </c>
    </row>
    <row r="194" spans="1:6" x14ac:dyDescent="0.25">
      <c r="A194" s="1">
        <v>188</v>
      </c>
      <c r="B194" s="17"/>
      <c r="C194" s="8" t="s">
        <v>6</v>
      </c>
      <c r="D194" s="1">
        <v>0</v>
      </c>
      <c r="E194" s="7">
        <f>VLOOKUP(C194,Master!$C$1:$G$6,MATCH(Summary!$E$7,Master!$D$1:$G$1)+1,FALSE)</f>
        <v>0</v>
      </c>
      <c r="F194" s="1">
        <f t="shared" si="2"/>
        <v>0</v>
      </c>
    </row>
    <row r="195" spans="1:6" x14ac:dyDescent="0.25">
      <c r="A195" s="1">
        <v>189</v>
      </c>
      <c r="B195" s="17"/>
      <c r="C195" s="8" t="s">
        <v>6</v>
      </c>
      <c r="D195" s="1">
        <v>0</v>
      </c>
      <c r="E195" s="7">
        <f>VLOOKUP(C195,Master!$C$1:$G$6,MATCH(Summary!$E$7,Master!$D$1:$G$1)+1,FALSE)</f>
        <v>0</v>
      </c>
      <c r="F195" s="1">
        <f t="shared" si="2"/>
        <v>0</v>
      </c>
    </row>
    <row r="196" spans="1:6" x14ac:dyDescent="0.25">
      <c r="A196" s="1">
        <v>190</v>
      </c>
      <c r="B196" s="17"/>
      <c r="C196" s="8" t="s">
        <v>6</v>
      </c>
      <c r="D196" s="1">
        <v>0</v>
      </c>
      <c r="E196" s="7">
        <f>VLOOKUP(C196,Master!$C$1:$G$6,MATCH(Summary!$E$7,Master!$D$1:$G$1)+1,FALSE)</f>
        <v>0</v>
      </c>
      <c r="F196" s="1">
        <f t="shared" si="2"/>
        <v>0</v>
      </c>
    </row>
    <row r="197" spans="1:6" x14ac:dyDescent="0.25">
      <c r="A197" s="1">
        <v>191</v>
      </c>
      <c r="B197" s="17"/>
      <c r="C197" s="8" t="s">
        <v>6</v>
      </c>
      <c r="D197" s="1">
        <v>0</v>
      </c>
      <c r="E197" s="7">
        <f>VLOOKUP(C197,Master!$C$1:$G$6,MATCH(Summary!$E$7,Master!$D$1:$G$1)+1,FALSE)</f>
        <v>0</v>
      </c>
      <c r="F197" s="1">
        <f t="shared" si="2"/>
        <v>0</v>
      </c>
    </row>
    <row r="198" spans="1:6" x14ac:dyDescent="0.25">
      <c r="A198" s="1">
        <v>192</v>
      </c>
      <c r="B198" s="17"/>
      <c r="C198" s="8" t="s">
        <v>6</v>
      </c>
      <c r="D198" s="1">
        <v>0</v>
      </c>
      <c r="E198" s="7">
        <f>VLOOKUP(C198,Master!$C$1:$G$6,MATCH(Summary!$E$7,Master!$D$1:$G$1)+1,FALSE)</f>
        <v>0</v>
      </c>
      <c r="F198" s="1">
        <f t="shared" si="2"/>
        <v>0</v>
      </c>
    </row>
    <row r="199" spans="1:6" x14ac:dyDescent="0.25">
      <c r="A199" s="1">
        <v>193</v>
      </c>
      <c r="B199" s="17"/>
      <c r="C199" s="8" t="s">
        <v>6</v>
      </c>
      <c r="D199" s="1">
        <v>0</v>
      </c>
      <c r="E199" s="7">
        <f>VLOOKUP(C199,Master!$C$1:$G$6,MATCH(Summary!$E$7,Master!$D$1:$G$1)+1,FALSE)</f>
        <v>0</v>
      </c>
      <c r="F199" s="1">
        <f t="shared" si="2"/>
        <v>0</v>
      </c>
    </row>
    <row r="200" spans="1:6" x14ac:dyDescent="0.25">
      <c r="A200" s="1">
        <v>194</v>
      </c>
      <c r="B200" s="17"/>
      <c r="C200" s="8" t="s">
        <v>6</v>
      </c>
      <c r="D200" s="1">
        <v>0</v>
      </c>
      <c r="E200" s="7">
        <f>VLOOKUP(C200,Master!$C$1:$G$6,MATCH(Summary!$E$7,Master!$D$1:$G$1)+1,FALSE)</f>
        <v>0</v>
      </c>
      <c r="F200" s="1">
        <f t="shared" ref="F200:F263" si="3">E200*D200</f>
        <v>0</v>
      </c>
    </row>
    <row r="201" spans="1:6" x14ac:dyDescent="0.25">
      <c r="A201" s="1">
        <v>195</v>
      </c>
      <c r="B201" s="17"/>
      <c r="C201" s="8" t="s">
        <v>6</v>
      </c>
      <c r="D201" s="1">
        <v>0</v>
      </c>
      <c r="E201" s="7">
        <f>VLOOKUP(C201,Master!$C$1:$G$6,MATCH(Summary!$E$7,Master!$D$1:$G$1)+1,FALSE)</f>
        <v>0</v>
      </c>
      <c r="F201" s="1">
        <f t="shared" si="3"/>
        <v>0</v>
      </c>
    </row>
    <row r="202" spans="1:6" x14ac:dyDescent="0.25">
      <c r="A202" s="1">
        <v>196</v>
      </c>
      <c r="B202" s="17"/>
      <c r="C202" s="8" t="s">
        <v>6</v>
      </c>
      <c r="D202" s="1">
        <v>0</v>
      </c>
      <c r="E202" s="7">
        <f>VLOOKUP(C202,Master!$C$1:$G$6,MATCH(Summary!$E$7,Master!$D$1:$G$1)+1,FALSE)</f>
        <v>0</v>
      </c>
      <c r="F202" s="1">
        <f t="shared" si="3"/>
        <v>0</v>
      </c>
    </row>
    <row r="203" spans="1:6" x14ac:dyDescent="0.25">
      <c r="A203" s="1">
        <v>197</v>
      </c>
      <c r="B203" s="17"/>
      <c r="C203" s="8" t="s">
        <v>6</v>
      </c>
      <c r="D203" s="1">
        <v>0</v>
      </c>
      <c r="E203" s="7">
        <f>VLOOKUP(C203,Master!$C$1:$G$6,MATCH(Summary!$E$7,Master!$D$1:$G$1)+1,FALSE)</f>
        <v>0</v>
      </c>
      <c r="F203" s="1">
        <f t="shared" si="3"/>
        <v>0</v>
      </c>
    </row>
    <row r="204" spans="1:6" x14ac:dyDescent="0.25">
      <c r="A204" s="1">
        <v>198</v>
      </c>
      <c r="B204" s="17"/>
      <c r="C204" s="8" t="s">
        <v>6</v>
      </c>
      <c r="D204" s="1">
        <v>0</v>
      </c>
      <c r="E204" s="7">
        <f>VLOOKUP(C204,Master!$C$1:$G$6,MATCH(Summary!$E$7,Master!$D$1:$G$1)+1,FALSE)</f>
        <v>0</v>
      </c>
      <c r="F204" s="1">
        <f t="shared" si="3"/>
        <v>0</v>
      </c>
    </row>
    <row r="205" spans="1:6" x14ac:dyDescent="0.25">
      <c r="A205" s="1">
        <v>199</v>
      </c>
      <c r="B205" s="17"/>
      <c r="C205" s="8" t="s">
        <v>6</v>
      </c>
      <c r="D205" s="1">
        <v>0</v>
      </c>
      <c r="E205" s="7">
        <f>VLOOKUP(C205,Master!$C$1:$G$6,MATCH(Summary!$E$7,Master!$D$1:$G$1)+1,FALSE)</f>
        <v>0</v>
      </c>
      <c r="F205" s="1">
        <f t="shared" si="3"/>
        <v>0</v>
      </c>
    </row>
    <row r="206" spans="1:6" x14ac:dyDescent="0.25">
      <c r="A206" s="1">
        <v>200</v>
      </c>
      <c r="B206" s="17"/>
      <c r="C206" s="8" t="s">
        <v>6</v>
      </c>
      <c r="D206" s="1">
        <v>0</v>
      </c>
      <c r="E206" s="7">
        <f>VLOOKUP(C206,Master!$C$1:$G$6,MATCH(Summary!$E$7,Master!$D$1:$G$1)+1,FALSE)</f>
        <v>0</v>
      </c>
      <c r="F206" s="1">
        <f t="shared" si="3"/>
        <v>0</v>
      </c>
    </row>
    <row r="207" spans="1:6" x14ac:dyDescent="0.25">
      <c r="A207" s="1">
        <v>201</v>
      </c>
      <c r="B207" s="17"/>
      <c r="C207" s="8" t="s">
        <v>6</v>
      </c>
      <c r="D207" s="1">
        <v>0</v>
      </c>
      <c r="E207" s="7">
        <f>VLOOKUP(C207,Master!$C$1:$G$6,MATCH(Summary!$E$7,Master!$D$1:$G$1)+1,FALSE)</f>
        <v>0</v>
      </c>
      <c r="F207" s="1">
        <f t="shared" si="3"/>
        <v>0</v>
      </c>
    </row>
    <row r="208" spans="1:6" x14ac:dyDescent="0.25">
      <c r="A208" s="1">
        <v>202</v>
      </c>
      <c r="B208" s="17"/>
      <c r="C208" s="8" t="s">
        <v>6</v>
      </c>
      <c r="D208" s="1">
        <v>0</v>
      </c>
      <c r="E208" s="7">
        <f>VLOOKUP(C208,Master!$C$1:$G$6,MATCH(Summary!$E$7,Master!$D$1:$G$1)+1,FALSE)</f>
        <v>0</v>
      </c>
      <c r="F208" s="1">
        <f t="shared" si="3"/>
        <v>0</v>
      </c>
    </row>
    <row r="209" spans="1:6" x14ac:dyDescent="0.25">
      <c r="A209" s="1">
        <v>203</v>
      </c>
      <c r="B209" s="17"/>
      <c r="C209" s="8" t="s">
        <v>6</v>
      </c>
      <c r="D209" s="1">
        <v>0</v>
      </c>
      <c r="E209" s="7">
        <f>VLOOKUP(C209,Master!$C$1:$G$6,MATCH(Summary!$E$7,Master!$D$1:$G$1)+1,FALSE)</f>
        <v>0</v>
      </c>
      <c r="F209" s="1">
        <f t="shared" si="3"/>
        <v>0</v>
      </c>
    </row>
    <row r="210" spans="1:6" x14ac:dyDescent="0.25">
      <c r="A210" s="1">
        <v>204</v>
      </c>
      <c r="B210" s="17"/>
      <c r="C210" s="8" t="s">
        <v>6</v>
      </c>
      <c r="D210" s="1">
        <v>0</v>
      </c>
      <c r="E210" s="7">
        <f>VLOOKUP(C210,Master!$C$1:$G$6,MATCH(Summary!$E$7,Master!$D$1:$G$1)+1,FALSE)</f>
        <v>0</v>
      </c>
      <c r="F210" s="1">
        <f t="shared" si="3"/>
        <v>0</v>
      </c>
    </row>
    <row r="211" spans="1:6" x14ac:dyDescent="0.25">
      <c r="A211" s="1">
        <v>205</v>
      </c>
      <c r="B211" s="17"/>
      <c r="C211" s="8" t="s">
        <v>6</v>
      </c>
      <c r="D211" s="1">
        <v>0</v>
      </c>
      <c r="E211" s="7">
        <f>VLOOKUP(C211,Master!$C$1:$G$6,MATCH(Summary!$E$7,Master!$D$1:$G$1)+1,FALSE)</f>
        <v>0</v>
      </c>
      <c r="F211" s="1">
        <f t="shared" si="3"/>
        <v>0</v>
      </c>
    </row>
    <row r="212" spans="1:6" x14ac:dyDescent="0.25">
      <c r="A212" s="1">
        <v>206</v>
      </c>
      <c r="B212" s="17"/>
      <c r="C212" s="8" t="s">
        <v>6</v>
      </c>
      <c r="D212" s="1">
        <v>0</v>
      </c>
      <c r="E212" s="7">
        <f>VLOOKUP(C212,Master!$C$1:$G$6,MATCH(Summary!$E$7,Master!$D$1:$G$1)+1,FALSE)</f>
        <v>0</v>
      </c>
      <c r="F212" s="1">
        <f t="shared" si="3"/>
        <v>0</v>
      </c>
    </row>
    <row r="213" spans="1:6" x14ac:dyDescent="0.25">
      <c r="A213" s="1">
        <v>207</v>
      </c>
      <c r="B213" s="17"/>
      <c r="C213" s="8" t="s">
        <v>6</v>
      </c>
      <c r="D213" s="1">
        <v>0</v>
      </c>
      <c r="E213" s="7">
        <f>VLOOKUP(C213,Master!$C$1:$G$6,MATCH(Summary!$E$7,Master!$D$1:$G$1)+1,FALSE)</f>
        <v>0</v>
      </c>
      <c r="F213" s="1">
        <f t="shared" si="3"/>
        <v>0</v>
      </c>
    </row>
    <row r="214" spans="1:6" x14ac:dyDescent="0.25">
      <c r="A214" s="1">
        <v>208</v>
      </c>
      <c r="B214" s="17"/>
      <c r="C214" s="8" t="s">
        <v>6</v>
      </c>
      <c r="D214" s="1">
        <v>0</v>
      </c>
      <c r="E214" s="7">
        <f>VLOOKUP(C214,Master!$C$1:$G$6,MATCH(Summary!$E$7,Master!$D$1:$G$1)+1,FALSE)</f>
        <v>0</v>
      </c>
      <c r="F214" s="1">
        <f t="shared" si="3"/>
        <v>0</v>
      </c>
    </row>
    <row r="215" spans="1:6" x14ac:dyDescent="0.25">
      <c r="A215" s="1">
        <v>209</v>
      </c>
      <c r="B215" s="17"/>
      <c r="C215" s="8" t="s">
        <v>6</v>
      </c>
      <c r="D215" s="1">
        <v>0</v>
      </c>
      <c r="E215" s="7">
        <f>VLOOKUP(C215,Master!$C$1:$G$6,MATCH(Summary!$E$7,Master!$D$1:$G$1)+1,FALSE)</f>
        <v>0</v>
      </c>
      <c r="F215" s="1">
        <f t="shared" si="3"/>
        <v>0</v>
      </c>
    </row>
    <row r="216" spans="1:6" x14ac:dyDescent="0.25">
      <c r="A216" s="1">
        <v>210</v>
      </c>
      <c r="B216" s="17"/>
      <c r="C216" s="8" t="s">
        <v>6</v>
      </c>
      <c r="D216" s="1">
        <v>0</v>
      </c>
      <c r="E216" s="7">
        <f>VLOOKUP(C216,Master!$C$1:$G$6,MATCH(Summary!$E$7,Master!$D$1:$G$1)+1,FALSE)</f>
        <v>0</v>
      </c>
      <c r="F216" s="1">
        <f t="shared" si="3"/>
        <v>0</v>
      </c>
    </row>
    <row r="217" spans="1:6" x14ac:dyDescent="0.25">
      <c r="A217" s="1">
        <v>211</v>
      </c>
      <c r="B217" s="17"/>
      <c r="C217" s="8" t="s">
        <v>6</v>
      </c>
      <c r="D217" s="1">
        <v>0</v>
      </c>
      <c r="E217" s="7">
        <f>VLOOKUP(C217,Master!$C$1:$G$6,MATCH(Summary!$E$7,Master!$D$1:$G$1)+1,FALSE)</f>
        <v>0</v>
      </c>
      <c r="F217" s="1">
        <f t="shared" si="3"/>
        <v>0</v>
      </c>
    </row>
    <row r="218" spans="1:6" x14ac:dyDescent="0.25">
      <c r="A218" s="1">
        <v>212</v>
      </c>
      <c r="B218" s="17"/>
      <c r="C218" s="8" t="s">
        <v>6</v>
      </c>
      <c r="D218" s="1">
        <v>0</v>
      </c>
      <c r="E218" s="7">
        <f>VLOOKUP(C218,Master!$C$1:$G$6,MATCH(Summary!$E$7,Master!$D$1:$G$1)+1,FALSE)</f>
        <v>0</v>
      </c>
      <c r="F218" s="1">
        <f t="shared" si="3"/>
        <v>0</v>
      </c>
    </row>
    <row r="219" spans="1:6" x14ac:dyDescent="0.25">
      <c r="A219" s="1">
        <v>213</v>
      </c>
      <c r="B219" s="17"/>
      <c r="C219" s="8" t="s">
        <v>6</v>
      </c>
      <c r="D219" s="1">
        <v>0</v>
      </c>
      <c r="E219" s="7">
        <f>VLOOKUP(C219,Master!$C$1:$G$6,MATCH(Summary!$E$7,Master!$D$1:$G$1)+1,FALSE)</f>
        <v>0</v>
      </c>
      <c r="F219" s="1">
        <f t="shared" si="3"/>
        <v>0</v>
      </c>
    </row>
    <row r="220" spans="1:6" x14ac:dyDescent="0.25">
      <c r="A220" s="1">
        <v>214</v>
      </c>
      <c r="B220" s="17"/>
      <c r="C220" s="8" t="s">
        <v>6</v>
      </c>
      <c r="D220" s="1">
        <v>0</v>
      </c>
      <c r="E220" s="7">
        <f>VLOOKUP(C220,Master!$C$1:$G$6,MATCH(Summary!$E$7,Master!$D$1:$G$1)+1,FALSE)</f>
        <v>0</v>
      </c>
      <c r="F220" s="1">
        <f t="shared" si="3"/>
        <v>0</v>
      </c>
    </row>
    <row r="221" spans="1:6" x14ac:dyDescent="0.25">
      <c r="A221" s="1">
        <v>215</v>
      </c>
      <c r="B221" s="17"/>
      <c r="C221" s="8" t="s">
        <v>6</v>
      </c>
      <c r="D221" s="1">
        <v>0</v>
      </c>
      <c r="E221" s="7">
        <f>VLOOKUP(C221,Master!$C$1:$G$6,MATCH(Summary!$E$7,Master!$D$1:$G$1)+1,FALSE)</f>
        <v>0</v>
      </c>
      <c r="F221" s="1">
        <f t="shared" si="3"/>
        <v>0</v>
      </c>
    </row>
    <row r="222" spans="1:6" x14ac:dyDescent="0.25">
      <c r="A222" s="1">
        <v>216</v>
      </c>
      <c r="B222" s="17"/>
      <c r="C222" s="8" t="s">
        <v>6</v>
      </c>
      <c r="D222" s="1">
        <v>0</v>
      </c>
      <c r="E222" s="7">
        <f>VLOOKUP(C222,Master!$C$1:$G$6,MATCH(Summary!$E$7,Master!$D$1:$G$1)+1,FALSE)</f>
        <v>0</v>
      </c>
      <c r="F222" s="1">
        <f t="shared" si="3"/>
        <v>0</v>
      </c>
    </row>
    <row r="223" spans="1:6" x14ac:dyDescent="0.25">
      <c r="A223" s="1">
        <v>217</v>
      </c>
      <c r="B223" s="17"/>
      <c r="C223" s="8" t="s">
        <v>6</v>
      </c>
      <c r="D223" s="1">
        <v>0</v>
      </c>
      <c r="E223" s="7">
        <f>VLOOKUP(C223,Master!$C$1:$G$6,MATCH(Summary!$E$7,Master!$D$1:$G$1)+1,FALSE)</f>
        <v>0</v>
      </c>
      <c r="F223" s="1">
        <f t="shared" si="3"/>
        <v>0</v>
      </c>
    </row>
    <row r="224" spans="1:6" x14ac:dyDescent="0.25">
      <c r="A224" s="1">
        <v>218</v>
      </c>
      <c r="B224" s="17"/>
      <c r="C224" s="8" t="s">
        <v>6</v>
      </c>
      <c r="D224" s="1">
        <v>0</v>
      </c>
      <c r="E224" s="7">
        <f>VLOOKUP(C224,Master!$C$1:$G$6,MATCH(Summary!$E$7,Master!$D$1:$G$1)+1,FALSE)</f>
        <v>0</v>
      </c>
      <c r="F224" s="1">
        <f t="shared" si="3"/>
        <v>0</v>
      </c>
    </row>
    <row r="225" spans="1:6" x14ac:dyDescent="0.25">
      <c r="A225" s="1">
        <v>219</v>
      </c>
      <c r="B225" s="17"/>
      <c r="C225" s="8" t="s">
        <v>6</v>
      </c>
      <c r="D225" s="1">
        <v>0</v>
      </c>
      <c r="E225" s="7">
        <f>VLOOKUP(C225,Master!$C$1:$G$6,MATCH(Summary!$E$7,Master!$D$1:$G$1)+1,FALSE)</f>
        <v>0</v>
      </c>
      <c r="F225" s="1">
        <f t="shared" si="3"/>
        <v>0</v>
      </c>
    </row>
    <row r="226" spans="1:6" x14ac:dyDescent="0.25">
      <c r="A226" s="1">
        <v>220</v>
      </c>
      <c r="B226" s="17"/>
      <c r="C226" s="8" t="s">
        <v>6</v>
      </c>
      <c r="D226" s="1">
        <v>0</v>
      </c>
      <c r="E226" s="7">
        <f>VLOOKUP(C226,Master!$C$1:$G$6,MATCH(Summary!$E$7,Master!$D$1:$G$1)+1,FALSE)</f>
        <v>0</v>
      </c>
      <c r="F226" s="1">
        <f t="shared" si="3"/>
        <v>0</v>
      </c>
    </row>
    <row r="227" spans="1:6" x14ac:dyDescent="0.25">
      <c r="A227" s="1">
        <v>221</v>
      </c>
      <c r="B227" s="17"/>
      <c r="C227" s="8" t="s">
        <v>6</v>
      </c>
      <c r="D227" s="1">
        <v>0</v>
      </c>
      <c r="E227" s="7">
        <f>VLOOKUP(C227,Master!$C$1:$G$6,MATCH(Summary!$E$7,Master!$D$1:$G$1)+1,FALSE)</f>
        <v>0</v>
      </c>
      <c r="F227" s="1">
        <f t="shared" si="3"/>
        <v>0</v>
      </c>
    </row>
    <row r="228" spans="1:6" x14ac:dyDescent="0.25">
      <c r="A228" s="1">
        <v>222</v>
      </c>
      <c r="B228" s="17"/>
      <c r="C228" s="8" t="s">
        <v>6</v>
      </c>
      <c r="D228" s="1">
        <v>0</v>
      </c>
      <c r="E228" s="7">
        <f>VLOOKUP(C228,Master!$C$1:$G$6,MATCH(Summary!$E$7,Master!$D$1:$G$1)+1,FALSE)</f>
        <v>0</v>
      </c>
      <c r="F228" s="1">
        <f t="shared" si="3"/>
        <v>0</v>
      </c>
    </row>
    <row r="229" spans="1:6" x14ac:dyDescent="0.25">
      <c r="A229" s="1">
        <v>223</v>
      </c>
      <c r="B229" s="17"/>
      <c r="C229" s="8" t="s">
        <v>6</v>
      </c>
      <c r="D229" s="1">
        <v>0</v>
      </c>
      <c r="E229" s="7">
        <f>VLOOKUP(C229,Master!$C$1:$G$6,MATCH(Summary!$E$7,Master!$D$1:$G$1)+1,FALSE)</f>
        <v>0</v>
      </c>
      <c r="F229" s="1">
        <f t="shared" si="3"/>
        <v>0</v>
      </c>
    </row>
    <row r="230" spans="1:6" x14ac:dyDescent="0.25">
      <c r="A230" s="1">
        <v>224</v>
      </c>
      <c r="B230" s="17"/>
      <c r="C230" s="8" t="s">
        <v>6</v>
      </c>
      <c r="D230" s="1">
        <v>0</v>
      </c>
      <c r="E230" s="7">
        <f>VLOOKUP(C230,Master!$C$1:$G$6,MATCH(Summary!$E$7,Master!$D$1:$G$1)+1,FALSE)</f>
        <v>0</v>
      </c>
      <c r="F230" s="1">
        <f t="shared" si="3"/>
        <v>0</v>
      </c>
    </row>
    <row r="231" spans="1:6" x14ac:dyDescent="0.25">
      <c r="A231" s="1">
        <v>225</v>
      </c>
      <c r="B231" s="17"/>
      <c r="C231" s="8" t="s">
        <v>6</v>
      </c>
      <c r="D231" s="1">
        <v>0</v>
      </c>
      <c r="E231" s="7">
        <f>VLOOKUP(C231,Master!$C$1:$G$6,MATCH(Summary!$E$7,Master!$D$1:$G$1)+1,FALSE)</f>
        <v>0</v>
      </c>
      <c r="F231" s="1">
        <f t="shared" si="3"/>
        <v>0</v>
      </c>
    </row>
    <row r="232" spans="1:6" x14ac:dyDescent="0.25">
      <c r="A232" s="1">
        <v>226</v>
      </c>
      <c r="B232" s="17"/>
      <c r="C232" s="8" t="s">
        <v>6</v>
      </c>
      <c r="D232" s="1">
        <v>0</v>
      </c>
      <c r="E232" s="7">
        <f>VLOOKUP(C232,Master!$C$1:$G$6,MATCH(Summary!$E$7,Master!$D$1:$G$1)+1,FALSE)</f>
        <v>0</v>
      </c>
      <c r="F232" s="1">
        <f t="shared" si="3"/>
        <v>0</v>
      </c>
    </row>
    <row r="233" spans="1:6" x14ac:dyDescent="0.25">
      <c r="A233" s="1">
        <v>227</v>
      </c>
      <c r="B233" s="17"/>
      <c r="C233" s="8" t="s">
        <v>6</v>
      </c>
      <c r="D233" s="1">
        <v>0</v>
      </c>
      <c r="E233" s="7">
        <f>VLOOKUP(C233,Master!$C$1:$G$6,MATCH(Summary!$E$7,Master!$D$1:$G$1)+1,FALSE)</f>
        <v>0</v>
      </c>
      <c r="F233" s="1">
        <f t="shared" si="3"/>
        <v>0</v>
      </c>
    </row>
    <row r="234" spans="1:6" x14ac:dyDescent="0.25">
      <c r="A234" s="1">
        <v>228</v>
      </c>
      <c r="B234" s="17"/>
      <c r="C234" s="8" t="s">
        <v>6</v>
      </c>
      <c r="D234" s="1">
        <v>0</v>
      </c>
      <c r="E234" s="7">
        <f>VLOOKUP(C234,Master!$C$1:$G$6,MATCH(Summary!$E$7,Master!$D$1:$G$1)+1,FALSE)</f>
        <v>0</v>
      </c>
      <c r="F234" s="1">
        <f t="shared" si="3"/>
        <v>0</v>
      </c>
    </row>
    <row r="235" spans="1:6" x14ac:dyDescent="0.25">
      <c r="A235" s="1">
        <v>229</v>
      </c>
      <c r="B235" s="17"/>
      <c r="C235" s="8" t="s">
        <v>6</v>
      </c>
      <c r="D235" s="1">
        <v>0</v>
      </c>
      <c r="E235" s="7">
        <f>VLOOKUP(C235,Master!$C$1:$G$6,MATCH(Summary!$E$7,Master!$D$1:$G$1)+1,FALSE)</f>
        <v>0</v>
      </c>
      <c r="F235" s="1">
        <f t="shared" si="3"/>
        <v>0</v>
      </c>
    </row>
    <row r="236" spans="1:6" x14ac:dyDescent="0.25">
      <c r="A236" s="1">
        <v>230</v>
      </c>
      <c r="B236" s="17"/>
      <c r="C236" s="8" t="s">
        <v>6</v>
      </c>
      <c r="D236" s="1">
        <v>0</v>
      </c>
      <c r="E236" s="7">
        <f>VLOOKUP(C236,Master!$C$1:$G$6,MATCH(Summary!$E$7,Master!$D$1:$G$1)+1,FALSE)</f>
        <v>0</v>
      </c>
      <c r="F236" s="1">
        <f t="shared" si="3"/>
        <v>0</v>
      </c>
    </row>
    <row r="237" spans="1:6" x14ac:dyDescent="0.25">
      <c r="A237" s="1">
        <v>231</v>
      </c>
      <c r="B237" s="17"/>
      <c r="C237" s="8" t="s">
        <v>6</v>
      </c>
      <c r="D237" s="1">
        <v>0</v>
      </c>
      <c r="E237" s="7">
        <f>VLOOKUP(C237,Master!$C$1:$G$6,MATCH(Summary!$E$7,Master!$D$1:$G$1)+1,FALSE)</f>
        <v>0</v>
      </c>
      <c r="F237" s="1">
        <f t="shared" si="3"/>
        <v>0</v>
      </c>
    </row>
    <row r="238" spans="1:6" x14ac:dyDescent="0.25">
      <c r="A238" s="1">
        <v>232</v>
      </c>
      <c r="B238" s="17"/>
      <c r="C238" s="8" t="s">
        <v>6</v>
      </c>
      <c r="D238" s="1">
        <v>0</v>
      </c>
      <c r="E238" s="7">
        <f>VLOOKUP(C238,Master!$C$1:$G$6,MATCH(Summary!$E$7,Master!$D$1:$G$1)+1,FALSE)</f>
        <v>0</v>
      </c>
      <c r="F238" s="1">
        <f t="shared" si="3"/>
        <v>0</v>
      </c>
    </row>
    <row r="239" spans="1:6" x14ac:dyDescent="0.25">
      <c r="A239" s="1">
        <v>233</v>
      </c>
      <c r="B239" s="17"/>
      <c r="C239" s="8" t="s">
        <v>6</v>
      </c>
      <c r="D239" s="1">
        <v>0</v>
      </c>
      <c r="E239" s="7">
        <f>VLOOKUP(C239,Master!$C$1:$G$6,MATCH(Summary!$E$7,Master!$D$1:$G$1)+1,FALSE)</f>
        <v>0</v>
      </c>
      <c r="F239" s="1">
        <f t="shared" si="3"/>
        <v>0</v>
      </c>
    </row>
    <row r="240" spans="1:6" x14ac:dyDescent="0.25">
      <c r="A240" s="1">
        <v>234</v>
      </c>
      <c r="B240" s="17"/>
      <c r="C240" s="8" t="s">
        <v>6</v>
      </c>
      <c r="D240" s="1">
        <v>0</v>
      </c>
      <c r="E240" s="7">
        <f>VLOOKUP(C240,Master!$C$1:$G$6,MATCH(Summary!$E$7,Master!$D$1:$G$1)+1,FALSE)</f>
        <v>0</v>
      </c>
      <c r="F240" s="1">
        <f t="shared" si="3"/>
        <v>0</v>
      </c>
    </row>
    <row r="241" spans="1:6" x14ac:dyDescent="0.25">
      <c r="A241" s="1">
        <v>235</v>
      </c>
      <c r="B241" s="17"/>
      <c r="C241" s="8" t="s">
        <v>6</v>
      </c>
      <c r="D241" s="1">
        <v>0</v>
      </c>
      <c r="E241" s="7">
        <f>VLOOKUP(C241,Master!$C$1:$G$6,MATCH(Summary!$E$7,Master!$D$1:$G$1)+1,FALSE)</f>
        <v>0</v>
      </c>
      <c r="F241" s="1">
        <f t="shared" si="3"/>
        <v>0</v>
      </c>
    </row>
    <row r="242" spans="1:6" x14ac:dyDescent="0.25">
      <c r="A242" s="1">
        <v>236</v>
      </c>
      <c r="B242" s="17"/>
      <c r="C242" s="8" t="s">
        <v>6</v>
      </c>
      <c r="D242" s="1">
        <v>0</v>
      </c>
      <c r="E242" s="7">
        <f>VLOOKUP(C242,Master!$C$1:$G$6,MATCH(Summary!$E$7,Master!$D$1:$G$1)+1,FALSE)</f>
        <v>0</v>
      </c>
      <c r="F242" s="1">
        <f t="shared" si="3"/>
        <v>0</v>
      </c>
    </row>
    <row r="243" spans="1:6" x14ac:dyDescent="0.25">
      <c r="A243" s="1">
        <v>237</v>
      </c>
      <c r="B243" s="17"/>
      <c r="C243" s="8" t="s">
        <v>6</v>
      </c>
      <c r="D243" s="1">
        <v>0</v>
      </c>
      <c r="E243" s="7">
        <f>VLOOKUP(C243,Master!$C$1:$G$6,MATCH(Summary!$E$7,Master!$D$1:$G$1)+1,FALSE)</f>
        <v>0</v>
      </c>
      <c r="F243" s="1">
        <f t="shared" si="3"/>
        <v>0</v>
      </c>
    </row>
    <row r="244" spans="1:6" x14ac:dyDescent="0.25">
      <c r="A244" s="1">
        <v>238</v>
      </c>
      <c r="B244" s="17"/>
      <c r="C244" s="8" t="s">
        <v>6</v>
      </c>
      <c r="D244" s="1">
        <v>0</v>
      </c>
      <c r="E244" s="7">
        <f>VLOOKUP(C244,Master!$C$1:$G$6,MATCH(Summary!$E$7,Master!$D$1:$G$1)+1,FALSE)</f>
        <v>0</v>
      </c>
      <c r="F244" s="1">
        <f t="shared" si="3"/>
        <v>0</v>
      </c>
    </row>
    <row r="245" spans="1:6" x14ac:dyDescent="0.25">
      <c r="A245" s="1">
        <v>239</v>
      </c>
      <c r="B245" s="17"/>
      <c r="C245" s="8" t="s">
        <v>6</v>
      </c>
      <c r="D245" s="1">
        <v>0</v>
      </c>
      <c r="E245" s="7">
        <f>VLOOKUP(C245,Master!$C$1:$G$6,MATCH(Summary!$E$7,Master!$D$1:$G$1)+1,FALSE)</f>
        <v>0</v>
      </c>
      <c r="F245" s="1">
        <f t="shared" si="3"/>
        <v>0</v>
      </c>
    </row>
    <row r="246" spans="1:6" x14ac:dyDescent="0.25">
      <c r="A246" s="1">
        <v>240</v>
      </c>
      <c r="B246" s="17"/>
      <c r="C246" s="8" t="s">
        <v>6</v>
      </c>
      <c r="D246" s="1">
        <v>0</v>
      </c>
      <c r="E246" s="7">
        <f>VLOOKUP(C246,Master!$C$1:$G$6,MATCH(Summary!$E$7,Master!$D$1:$G$1)+1,FALSE)</f>
        <v>0</v>
      </c>
      <c r="F246" s="1">
        <f t="shared" si="3"/>
        <v>0</v>
      </c>
    </row>
    <row r="247" spans="1:6" x14ac:dyDescent="0.25">
      <c r="A247" s="1">
        <v>241</v>
      </c>
      <c r="B247" s="17"/>
      <c r="C247" s="8" t="s">
        <v>6</v>
      </c>
      <c r="D247" s="1">
        <v>0</v>
      </c>
      <c r="E247" s="7">
        <f>VLOOKUP(C247,Master!$C$1:$G$6,MATCH(Summary!$E$7,Master!$D$1:$G$1)+1,FALSE)</f>
        <v>0</v>
      </c>
      <c r="F247" s="1">
        <f t="shared" si="3"/>
        <v>0</v>
      </c>
    </row>
    <row r="248" spans="1:6" x14ac:dyDescent="0.25">
      <c r="A248" s="1">
        <v>242</v>
      </c>
      <c r="B248" s="17"/>
      <c r="C248" s="8" t="s">
        <v>6</v>
      </c>
      <c r="D248" s="1">
        <v>0</v>
      </c>
      <c r="E248" s="7">
        <f>VLOOKUP(C248,Master!$C$1:$G$6,MATCH(Summary!$E$7,Master!$D$1:$G$1)+1,FALSE)</f>
        <v>0</v>
      </c>
      <c r="F248" s="1">
        <f t="shared" si="3"/>
        <v>0</v>
      </c>
    </row>
    <row r="249" spans="1:6" x14ac:dyDescent="0.25">
      <c r="A249" s="1">
        <v>243</v>
      </c>
      <c r="B249" s="17"/>
      <c r="C249" s="8" t="s">
        <v>6</v>
      </c>
      <c r="D249" s="1">
        <v>0</v>
      </c>
      <c r="E249" s="7">
        <f>VLOOKUP(C249,Master!$C$1:$G$6,MATCH(Summary!$E$7,Master!$D$1:$G$1)+1,FALSE)</f>
        <v>0</v>
      </c>
      <c r="F249" s="1">
        <f t="shared" si="3"/>
        <v>0</v>
      </c>
    </row>
    <row r="250" spans="1:6" x14ac:dyDescent="0.25">
      <c r="A250" s="1">
        <v>244</v>
      </c>
      <c r="B250" s="17"/>
      <c r="C250" s="8" t="s">
        <v>6</v>
      </c>
      <c r="D250" s="1">
        <v>0</v>
      </c>
      <c r="E250" s="7">
        <f>VLOOKUP(C250,Master!$C$1:$G$6,MATCH(Summary!$E$7,Master!$D$1:$G$1)+1,FALSE)</f>
        <v>0</v>
      </c>
      <c r="F250" s="1">
        <f t="shared" si="3"/>
        <v>0</v>
      </c>
    </row>
    <row r="251" spans="1:6" x14ac:dyDescent="0.25">
      <c r="A251" s="1">
        <v>245</v>
      </c>
      <c r="B251" s="17"/>
      <c r="C251" s="8" t="s">
        <v>6</v>
      </c>
      <c r="D251" s="1">
        <v>0</v>
      </c>
      <c r="E251" s="7">
        <f>VLOOKUP(C251,Master!$C$1:$G$6,MATCH(Summary!$E$7,Master!$D$1:$G$1)+1,FALSE)</f>
        <v>0</v>
      </c>
      <c r="F251" s="1">
        <f t="shared" si="3"/>
        <v>0</v>
      </c>
    </row>
    <row r="252" spans="1:6" x14ac:dyDescent="0.25">
      <c r="A252" s="1">
        <v>246</v>
      </c>
      <c r="B252" s="17"/>
      <c r="C252" s="8" t="s">
        <v>6</v>
      </c>
      <c r="D252" s="1">
        <v>0</v>
      </c>
      <c r="E252" s="7">
        <f>VLOOKUP(C252,Master!$C$1:$G$6,MATCH(Summary!$E$7,Master!$D$1:$G$1)+1,FALSE)</f>
        <v>0</v>
      </c>
      <c r="F252" s="1">
        <f t="shared" si="3"/>
        <v>0</v>
      </c>
    </row>
    <row r="253" spans="1:6" x14ac:dyDescent="0.25">
      <c r="A253" s="1">
        <v>247</v>
      </c>
      <c r="B253" s="17"/>
      <c r="C253" s="8" t="s">
        <v>6</v>
      </c>
      <c r="D253" s="1">
        <v>0</v>
      </c>
      <c r="E253" s="7">
        <f>VLOOKUP(C253,Master!$C$1:$G$6,MATCH(Summary!$E$7,Master!$D$1:$G$1)+1,FALSE)</f>
        <v>0</v>
      </c>
      <c r="F253" s="1">
        <f t="shared" si="3"/>
        <v>0</v>
      </c>
    </row>
    <row r="254" spans="1:6" x14ac:dyDescent="0.25">
      <c r="A254" s="1">
        <v>248</v>
      </c>
      <c r="B254" s="17"/>
      <c r="C254" s="8" t="s">
        <v>6</v>
      </c>
      <c r="D254" s="1">
        <v>0</v>
      </c>
      <c r="E254" s="7">
        <f>VLOOKUP(C254,Master!$C$1:$G$6,MATCH(Summary!$E$7,Master!$D$1:$G$1)+1,FALSE)</f>
        <v>0</v>
      </c>
      <c r="F254" s="1">
        <f t="shared" si="3"/>
        <v>0</v>
      </c>
    </row>
    <row r="255" spans="1:6" x14ac:dyDescent="0.25">
      <c r="A255" s="1">
        <v>249</v>
      </c>
      <c r="B255" s="17"/>
      <c r="C255" s="8" t="s">
        <v>6</v>
      </c>
      <c r="D255" s="1">
        <v>0</v>
      </c>
      <c r="E255" s="7">
        <f>VLOOKUP(C255,Master!$C$1:$G$6,MATCH(Summary!$E$7,Master!$D$1:$G$1)+1,FALSE)</f>
        <v>0</v>
      </c>
      <c r="F255" s="1">
        <f t="shared" si="3"/>
        <v>0</v>
      </c>
    </row>
    <row r="256" spans="1:6" x14ac:dyDescent="0.25">
      <c r="A256" s="1">
        <v>250</v>
      </c>
      <c r="B256" s="17"/>
      <c r="C256" s="8" t="s">
        <v>6</v>
      </c>
      <c r="D256" s="1">
        <v>0</v>
      </c>
      <c r="E256" s="7">
        <f>VLOOKUP(C256,Master!$C$1:$G$6,MATCH(Summary!$E$7,Master!$D$1:$G$1)+1,FALSE)</f>
        <v>0</v>
      </c>
      <c r="F256" s="1">
        <f t="shared" si="3"/>
        <v>0</v>
      </c>
    </row>
    <row r="257" spans="1:6" x14ac:dyDescent="0.25">
      <c r="A257" s="1">
        <v>251</v>
      </c>
      <c r="B257" s="17"/>
      <c r="C257" s="8" t="s">
        <v>6</v>
      </c>
      <c r="D257" s="1">
        <v>0</v>
      </c>
      <c r="E257" s="7">
        <f>VLOOKUP(C257,Master!$C$1:$G$6,MATCH(Summary!$E$7,Master!$D$1:$G$1)+1,FALSE)</f>
        <v>0</v>
      </c>
      <c r="F257" s="1">
        <f t="shared" si="3"/>
        <v>0</v>
      </c>
    </row>
    <row r="258" spans="1:6" x14ac:dyDescent="0.25">
      <c r="A258" s="1">
        <v>252</v>
      </c>
      <c r="B258" s="17"/>
      <c r="C258" s="8" t="s">
        <v>6</v>
      </c>
      <c r="D258" s="1">
        <v>0</v>
      </c>
      <c r="E258" s="7">
        <f>VLOOKUP(C258,Master!$C$1:$G$6,MATCH(Summary!$E$7,Master!$D$1:$G$1)+1,FALSE)</f>
        <v>0</v>
      </c>
      <c r="F258" s="1">
        <f t="shared" si="3"/>
        <v>0</v>
      </c>
    </row>
    <row r="259" spans="1:6" x14ac:dyDescent="0.25">
      <c r="A259" s="1">
        <v>253</v>
      </c>
      <c r="B259" s="17"/>
      <c r="C259" s="8" t="s">
        <v>6</v>
      </c>
      <c r="D259" s="1">
        <v>0</v>
      </c>
      <c r="E259" s="7">
        <f>VLOOKUP(C259,Master!$C$1:$G$6,MATCH(Summary!$E$7,Master!$D$1:$G$1)+1,FALSE)</f>
        <v>0</v>
      </c>
      <c r="F259" s="1">
        <f t="shared" si="3"/>
        <v>0</v>
      </c>
    </row>
    <row r="260" spans="1:6" x14ac:dyDescent="0.25">
      <c r="A260" s="1">
        <v>254</v>
      </c>
      <c r="B260" s="17"/>
      <c r="C260" s="8" t="s">
        <v>6</v>
      </c>
      <c r="D260" s="1">
        <v>0</v>
      </c>
      <c r="E260" s="7">
        <f>VLOOKUP(C260,Master!$C$1:$G$6,MATCH(Summary!$E$7,Master!$D$1:$G$1)+1,FALSE)</f>
        <v>0</v>
      </c>
      <c r="F260" s="1">
        <f t="shared" si="3"/>
        <v>0</v>
      </c>
    </row>
    <row r="261" spans="1:6" x14ac:dyDescent="0.25">
      <c r="A261" s="1">
        <v>255</v>
      </c>
      <c r="B261" s="17"/>
      <c r="C261" s="8" t="s">
        <v>6</v>
      </c>
      <c r="D261" s="1">
        <v>0</v>
      </c>
      <c r="E261" s="7">
        <f>VLOOKUP(C261,Master!$C$1:$G$6,MATCH(Summary!$E$7,Master!$D$1:$G$1)+1,FALSE)</f>
        <v>0</v>
      </c>
      <c r="F261" s="1">
        <f t="shared" si="3"/>
        <v>0</v>
      </c>
    </row>
    <row r="262" spans="1:6" x14ac:dyDescent="0.25">
      <c r="A262" s="1">
        <v>256</v>
      </c>
      <c r="B262" s="17"/>
      <c r="C262" s="8" t="s">
        <v>6</v>
      </c>
      <c r="D262" s="1">
        <v>0</v>
      </c>
      <c r="E262" s="7">
        <f>VLOOKUP(C262,Master!$C$1:$G$6,MATCH(Summary!$E$7,Master!$D$1:$G$1)+1,FALSE)</f>
        <v>0</v>
      </c>
      <c r="F262" s="1">
        <f t="shared" si="3"/>
        <v>0</v>
      </c>
    </row>
    <row r="263" spans="1:6" x14ac:dyDescent="0.25">
      <c r="A263" s="1">
        <v>257</v>
      </c>
      <c r="B263" s="17"/>
      <c r="C263" s="8" t="s">
        <v>6</v>
      </c>
      <c r="D263" s="1">
        <v>0</v>
      </c>
      <c r="E263" s="7">
        <f>VLOOKUP(C263,Master!$C$1:$G$6,MATCH(Summary!$E$7,Master!$D$1:$G$1)+1,FALSE)</f>
        <v>0</v>
      </c>
      <c r="F263" s="1">
        <f t="shared" si="3"/>
        <v>0</v>
      </c>
    </row>
    <row r="264" spans="1:6" x14ac:dyDescent="0.25">
      <c r="A264" s="1">
        <v>258</v>
      </c>
      <c r="B264" s="17"/>
      <c r="C264" s="8" t="s">
        <v>6</v>
      </c>
      <c r="D264" s="1">
        <v>0</v>
      </c>
      <c r="E264" s="7">
        <f>VLOOKUP(C264,Master!$C$1:$G$6,MATCH(Summary!$E$7,Master!$D$1:$G$1)+1,FALSE)</f>
        <v>0</v>
      </c>
      <c r="F264" s="1">
        <f t="shared" ref="F264:F306" si="4">E264*D264</f>
        <v>0</v>
      </c>
    </row>
    <row r="265" spans="1:6" x14ac:dyDescent="0.25">
      <c r="A265" s="1">
        <v>259</v>
      </c>
      <c r="B265" s="17"/>
      <c r="C265" s="8" t="s">
        <v>6</v>
      </c>
      <c r="D265" s="1">
        <v>0</v>
      </c>
      <c r="E265" s="7">
        <f>VLOOKUP(C265,Master!$C$1:$G$6,MATCH(Summary!$E$7,Master!$D$1:$G$1)+1,FALSE)</f>
        <v>0</v>
      </c>
      <c r="F265" s="1">
        <f t="shared" si="4"/>
        <v>0</v>
      </c>
    </row>
    <row r="266" spans="1:6" x14ac:dyDescent="0.25">
      <c r="A266" s="1">
        <v>260</v>
      </c>
      <c r="B266" s="17"/>
      <c r="C266" s="8" t="s">
        <v>6</v>
      </c>
      <c r="D266" s="1">
        <v>0</v>
      </c>
      <c r="E266" s="7">
        <f>VLOOKUP(C266,Master!$C$1:$G$6,MATCH(Summary!$E$7,Master!$D$1:$G$1)+1,FALSE)</f>
        <v>0</v>
      </c>
      <c r="F266" s="1">
        <f t="shared" si="4"/>
        <v>0</v>
      </c>
    </row>
    <row r="267" spans="1:6" x14ac:dyDescent="0.25">
      <c r="A267" s="1">
        <v>261</v>
      </c>
      <c r="B267" s="17"/>
      <c r="C267" s="8" t="s">
        <v>6</v>
      </c>
      <c r="D267" s="1">
        <v>0</v>
      </c>
      <c r="E267" s="7">
        <f>VLOOKUP(C267,Master!$C$1:$G$6,MATCH(Summary!$E$7,Master!$D$1:$G$1)+1,FALSE)</f>
        <v>0</v>
      </c>
      <c r="F267" s="1">
        <f t="shared" si="4"/>
        <v>0</v>
      </c>
    </row>
    <row r="268" spans="1:6" x14ac:dyDescent="0.25">
      <c r="A268" s="1">
        <v>262</v>
      </c>
      <c r="B268" s="17"/>
      <c r="C268" s="8" t="s">
        <v>6</v>
      </c>
      <c r="D268" s="1">
        <v>0</v>
      </c>
      <c r="E268" s="7">
        <f>VLOOKUP(C268,Master!$C$1:$G$6,MATCH(Summary!$E$7,Master!$D$1:$G$1)+1,FALSE)</f>
        <v>0</v>
      </c>
      <c r="F268" s="1">
        <f t="shared" si="4"/>
        <v>0</v>
      </c>
    </row>
    <row r="269" spans="1:6" x14ac:dyDescent="0.25">
      <c r="A269" s="1">
        <v>263</v>
      </c>
      <c r="B269" s="17"/>
      <c r="C269" s="8" t="s">
        <v>6</v>
      </c>
      <c r="D269" s="1">
        <v>0</v>
      </c>
      <c r="E269" s="7">
        <f>VLOOKUP(C269,Master!$C$1:$G$6,MATCH(Summary!$E$7,Master!$D$1:$G$1)+1,FALSE)</f>
        <v>0</v>
      </c>
      <c r="F269" s="1">
        <f t="shared" si="4"/>
        <v>0</v>
      </c>
    </row>
    <row r="270" spans="1:6" x14ac:dyDescent="0.25">
      <c r="A270" s="1">
        <v>264</v>
      </c>
      <c r="B270" s="17"/>
      <c r="C270" s="8" t="s">
        <v>6</v>
      </c>
      <c r="D270" s="1">
        <v>0</v>
      </c>
      <c r="E270" s="7">
        <f>VLOOKUP(C270,Master!$C$1:$G$6,MATCH(Summary!$E$7,Master!$D$1:$G$1)+1,FALSE)</f>
        <v>0</v>
      </c>
      <c r="F270" s="1">
        <f t="shared" si="4"/>
        <v>0</v>
      </c>
    </row>
    <row r="271" spans="1:6" x14ac:dyDescent="0.25">
      <c r="A271" s="1">
        <v>265</v>
      </c>
      <c r="B271" s="17"/>
      <c r="C271" s="8" t="s">
        <v>6</v>
      </c>
      <c r="D271" s="1">
        <v>0</v>
      </c>
      <c r="E271" s="7">
        <f>VLOOKUP(C271,Master!$C$1:$G$6,MATCH(Summary!$E$7,Master!$D$1:$G$1)+1,FALSE)</f>
        <v>0</v>
      </c>
      <c r="F271" s="1">
        <f t="shared" si="4"/>
        <v>0</v>
      </c>
    </row>
    <row r="272" spans="1:6" x14ac:dyDescent="0.25">
      <c r="A272" s="1">
        <v>266</v>
      </c>
      <c r="B272" s="17"/>
      <c r="C272" s="8" t="s">
        <v>6</v>
      </c>
      <c r="D272" s="1">
        <v>0</v>
      </c>
      <c r="E272" s="7">
        <f>VLOOKUP(C272,Master!$C$1:$G$6,MATCH(Summary!$E$7,Master!$D$1:$G$1)+1,FALSE)</f>
        <v>0</v>
      </c>
      <c r="F272" s="1">
        <f t="shared" si="4"/>
        <v>0</v>
      </c>
    </row>
    <row r="273" spans="1:6" x14ac:dyDescent="0.25">
      <c r="A273" s="1">
        <v>267</v>
      </c>
      <c r="B273" s="17"/>
      <c r="C273" s="8" t="s">
        <v>6</v>
      </c>
      <c r="D273" s="1">
        <v>0</v>
      </c>
      <c r="E273" s="7">
        <f>VLOOKUP(C273,Master!$C$1:$G$6,MATCH(Summary!$E$7,Master!$D$1:$G$1)+1,FALSE)</f>
        <v>0</v>
      </c>
      <c r="F273" s="1">
        <f t="shared" si="4"/>
        <v>0</v>
      </c>
    </row>
    <row r="274" spans="1:6" x14ac:dyDescent="0.25">
      <c r="A274" s="1">
        <v>268</v>
      </c>
      <c r="B274" s="17"/>
      <c r="C274" s="8" t="s">
        <v>6</v>
      </c>
      <c r="D274" s="1">
        <v>0</v>
      </c>
      <c r="E274" s="7">
        <f>VLOOKUP(C274,Master!$C$1:$G$6,MATCH(Summary!$E$7,Master!$D$1:$G$1)+1,FALSE)</f>
        <v>0</v>
      </c>
      <c r="F274" s="1">
        <f t="shared" si="4"/>
        <v>0</v>
      </c>
    </row>
    <row r="275" spans="1:6" x14ac:dyDescent="0.25">
      <c r="A275" s="1">
        <v>269</v>
      </c>
      <c r="B275" s="17"/>
      <c r="C275" s="8" t="s">
        <v>6</v>
      </c>
      <c r="D275" s="1">
        <v>0</v>
      </c>
      <c r="E275" s="7">
        <f>VLOOKUP(C275,Master!$C$1:$G$6,MATCH(Summary!$E$7,Master!$D$1:$G$1)+1,FALSE)</f>
        <v>0</v>
      </c>
      <c r="F275" s="1">
        <f t="shared" si="4"/>
        <v>0</v>
      </c>
    </row>
    <row r="276" spans="1:6" x14ac:dyDescent="0.25">
      <c r="A276" s="1">
        <v>270</v>
      </c>
      <c r="B276" s="17"/>
      <c r="C276" s="8" t="s">
        <v>6</v>
      </c>
      <c r="D276" s="1">
        <v>0</v>
      </c>
      <c r="E276" s="7">
        <f>VLOOKUP(C276,Master!$C$1:$G$6,MATCH(Summary!$E$7,Master!$D$1:$G$1)+1,FALSE)</f>
        <v>0</v>
      </c>
      <c r="F276" s="1">
        <f t="shared" si="4"/>
        <v>0</v>
      </c>
    </row>
    <row r="277" spans="1:6" x14ac:dyDescent="0.25">
      <c r="A277" s="1">
        <v>271</v>
      </c>
      <c r="B277" s="17"/>
      <c r="C277" s="8" t="s">
        <v>6</v>
      </c>
      <c r="D277" s="1">
        <v>0</v>
      </c>
      <c r="E277" s="7">
        <f>VLOOKUP(C277,Master!$C$1:$G$6,MATCH(Summary!$E$7,Master!$D$1:$G$1)+1,FALSE)</f>
        <v>0</v>
      </c>
      <c r="F277" s="1">
        <f t="shared" si="4"/>
        <v>0</v>
      </c>
    </row>
    <row r="278" spans="1:6" x14ac:dyDescent="0.25">
      <c r="A278" s="1">
        <v>272</v>
      </c>
      <c r="B278" s="17"/>
      <c r="C278" s="8" t="s">
        <v>6</v>
      </c>
      <c r="D278" s="1">
        <v>0</v>
      </c>
      <c r="E278" s="7">
        <f>VLOOKUP(C278,Master!$C$1:$G$6,MATCH(Summary!$E$7,Master!$D$1:$G$1)+1,FALSE)</f>
        <v>0</v>
      </c>
      <c r="F278" s="1">
        <f t="shared" si="4"/>
        <v>0</v>
      </c>
    </row>
    <row r="279" spans="1:6" x14ac:dyDescent="0.25">
      <c r="A279" s="1">
        <v>273</v>
      </c>
      <c r="B279" s="17"/>
      <c r="C279" s="8" t="s">
        <v>6</v>
      </c>
      <c r="D279" s="1">
        <v>0</v>
      </c>
      <c r="E279" s="7">
        <f>VLOOKUP(C279,Master!$C$1:$G$6,MATCH(Summary!$E$7,Master!$D$1:$G$1)+1,FALSE)</f>
        <v>0</v>
      </c>
      <c r="F279" s="1">
        <f t="shared" si="4"/>
        <v>0</v>
      </c>
    </row>
    <row r="280" spans="1:6" x14ac:dyDescent="0.25">
      <c r="A280" s="1">
        <v>274</v>
      </c>
      <c r="B280" s="17"/>
      <c r="C280" s="8" t="s">
        <v>6</v>
      </c>
      <c r="D280" s="1">
        <v>0</v>
      </c>
      <c r="E280" s="7">
        <f>VLOOKUP(C280,Master!$C$1:$G$6,MATCH(Summary!$E$7,Master!$D$1:$G$1)+1,FALSE)</f>
        <v>0</v>
      </c>
      <c r="F280" s="1">
        <f t="shared" si="4"/>
        <v>0</v>
      </c>
    </row>
    <row r="281" spans="1:6" x14ac:dyDescent="0.25">
      <c r="A281" s="1">
        <v>275</v>
      </c>
      <c r="B281" s="17"/>
      <c r="C281" s="8" t="s">
        <v>6</v>
      </c>
      <c r="D281" s="1">
        <v>0</v>
      </c>
      <c r="E281" s="7">
        <f>VLOOKUP(C281,Master!$C$1:$G$6,MATCH(Summary!$E$7,Master!$D$1:$G$1)+1,FALSE)</f>
        <v>0</v>
      </c>
      <c r="F281" s="1">
        <f t="shared" si="4"/>
        <v>0</v>
      </c>
    </row>
    <row r="282" spans="1:6" x14ac:dyDescent="0.25">
      <c r="A282" s="1">
        <v>276</v>
      </c>
      <c r="B282" s="17"/>
      <c r="C282" s="8" t="s">
        <v>6</v>
      </c>
      <c r="D282" s="1">
        <v>0</v>
      </c>
      <c r="E282" s="7">
        <f>VLOOKUP(C282,Master!$C$1:$G$6,MATCH(Summary!$E$7,Master!$D$1:$G$1)+1,FALSE)</f>
        <v>0</v>
      </c>
      <c r="F282" s="1">
        <f t="shared" si="4"/>
        <v>0</v>
      </c>
    </row>
    <row r="283" spans="1:6" x14ac:dyDescent="0.25">
      <c r="A283" s="1">
        <v>277</v>
      </c>
      <c r="B283" s="17"/>
      <c r="C283" s="8" t="s">
        <v>6</v>
      </c>
      <c r="D283" s="1">
        <v>0</v>
      </c>
      <c r="E283" s="7">
        <f>VLOOKUP(C283,Master!$C$1:$G$6,MATCH(Summary!$E$7,Master!$D$1:$G$1)+1,FALSE)</f>
        <v>0</v>
      </c>
      <c r="F283" s="1">
        <f t="shared" si="4"/>
        <v>0</v>
      </c>
    </row>
    <row r="284" spans="1:6" x14ac:dyDescent="0.25">
      <c r="A284" s="1">
        <v>278</v>
      </c>
      <c r="B284" s="17"/>
      <c r="C284" s="8" t="s">
        <v>6</v>
      </c>
      <c r="D284" s="1">
        <v>0</v>
      </c>
      <c r="E284" s="7">
        <f>VLOOKUP(C284,Master!$C$1:$G$6,MATCH(Summary!$E$7,Master!$D$1:$G$1)+1,FALSE)</f>
        <v>0</v>
      </c>
      <c r="F284" s="1">
        <f t="shared" si="4"/>
        <v>0</v>
      </c>
    </row>
    <row r="285" spans="1:6" x14ac:dyDescent="0.25">
      <c r="A285" s="1">
        <v>279</v>
      </c>
      <c r="B285" s="17"/>
      <c r="C285" s="8" t="s">
        <v>6</v>
      </c>
      <c r="D285" s="1">
        <v>0</v>
      </c>
      <c r="E285" s="7">
        <f>VLOOKUP(C285,Master!$C$1:$G$6,MATCH(Summary!$E$7,Master!$D$1:$G$1)+1,FALSE)</f>
        <v>0</v>
      </c>
      <c r="F285" s="1">
        <f t="shared" si="4"/>
        <v>0</v>
      </c>
    </row>
    <row r="286" spans="1:6" x14ac:dyDescent="0.25">
      <c r="A286" s="1">
        <v>280</v>
      </c>
      <c r="B286" s="17"/>
      <c r="C286" s="8" t="s">
        <v>6</v>
      </c>
      <c r="D286" s="1">
        <v>0</v>
      </c>
      <c r="E286" s="7">
        <f>VLOOKUP(C286,Master!$C$1:$G$6,MATCH(Summary!$E$7,Master!$D$1:$G$1)+1,FALSE)</f>
        <v>0</v>
      </c>
      <c r="F286" s="1">
        <f t="shared" si="4"/>
        <v>0</v>
      </c>
    </row>
    <row r="287" spans="1:6" x14ac:dyDescent="0.25">
      <c r="A287" s="1">
        <v>281</v>
      </c>
      <c r="B287" s="17"/>
      <c r="C287" s="8" t="s">
        <v>6</v>
      </c>
      <c r="D287" s="1">
        <v>0</v>
      </c>
      <c r="E287" s="7">
        <f>VLOOKUP(C287,Master!$C$1:$G$6,MATCH(Summary!$E$7,Master!$D$1:$G$1)+1,FALSE)</f>
        <v>0</v>
      </c>
      <c r="F287" s="1">
        <f t="shared" si="4"/>
        <v>0</v>
      </c>
    </row>
    <row r="288" spans="1:6" x14ac:dyDescent="0.25">
      <c r="A288" s="1">
        <v>282</v>
      </c>
      <c r="B288" s="17"/>
      <c r="C288" s="8" t="s">
        <v>6</v>
      </c>
      <c r="D288" s="1">
        <v>0</v>
      </c>
      <c r="E288" s="7">
        <f>VLOOKUP(C288,Master!$C$1:$G$6,MATCH(Summary!$E$7,Master!$D$1:$G$1)+1,FALSE)</f>
        <v>0</v>
      </c>
      <c r="F288" s="1">
        <f t="shared" si="4"/>
        <v>0</v>
      </c>
    </row>
    <row r="289" spans="1:6" x14ac:dyDescent="0.25">
      <c r="A289" s="1">
        <v>283</v>
      </c>
      <c r="B289" s="17"/>
      <c r="C289" s="8" t="s">
        <v>6</v>
      </c>
      <c r="D289" s="1">
        <v>0</v>
      </c>
      <c r="E289" s="7">
        <f>VLOOKUP(C289,Master!$C$1:$G$6,MATCH(Summary!$E$7,Master!$D$1:$G$1)+1,FALSE)</f>
        <v>0</v>
      </c>
      <c r="F289" s="1">
        <f t="shared" si="4"/>
        <v>0</v>
      </c>
    </row>
    <row r="290" spans="1:6" x14ac:dyDescent="0.25">
      <c r="A290" s="1">
        <v>284</v>
      </c>
      <c r="B290" s="17"/>
      <c r="C290" s="8" t="s">
        <v>6</v>
      </c>
      <c r="D290" s="1">
        <v>0</v>
      </c>
      <c r="E290" s="7">
        <f>VLOOKUP(C290,Master!$C$1:$G$6,MATCH(Summary!$E$7,Master!$D$1:$G$1)+1,FALSE)</f>
        <v>0</v>
      </c>
      <c r="F290" s="1">
        <f t="shared" si="4"/>
        <v>0</v>
      </c>
    </row>
    <row r="291" spans="1:6" x14ac:dyDescent="0.25">
      <c r="A291" s="1">
        <v>285</v>
      </c>
      <c r="B291" s="17"/>
      <c r="C291" s="8" t="s">
        <v>6</v>
      </c>
      <c r="D291" s="1">
        <v>0</v>
      </c>
      <c r="E291" s="7">
        <f>VLOOKUP(C291,Master!$C$1:$G$6,MATCH(Summary!$E$7,Master!$D$1:$G$1)+1,FALSE)</f>
        <v>0</v>
      </c>
      <c r="F291" s="1">
        <f t="shared" si="4"/>
        <v>0</v>
      </c>
    </row>
    <row r="292" spans="1:6" x14ac:dyDescent="0.25">
      <c r="A292" s="1">
        <v>286</v>
      </c>
      <c r="B292" s="17"/>
      <c r="C292" s="8" t="s">
        <v>6</v>
      </c>
      <c r="D292" s="1">
        <v>0</v>
      </c>
      <c r="E292" s="7">
        <f>VLOOKUP(C292,Master!$C$1:$G$6,MATCH(Summary!$E$7,Master!$D$1:$G$1)+1,FALSE)</f>
        <v>0</v>
      </c>
      <c r="F292" s="1">
        <f t="shared" si="4"/>
        <v>0</v>
      </c>
    </row>
    <row r="293" spans="1:6" x14ac:dyDescent="0.25">
      <c r="A293" s="1">
        <v>287</v>
      </c>
      <c r="B293" s="17"/>
      <c r="C293" s="8" t="s">
        <v>6</v>
      </c>
      <c r="D293" s="1">
        <v>0</v>
      </c>
      <c r="E293" s="7">
        <f>VLOOKUP(C293,Master!$C$1:$G$6,MATCH(Summary!$E$7,Master!$D$1:$G$1)+1,FALSE)</f>
        <v>0</v>
      </c>
      <c r="F293" s="1">
        <f t="shared" si="4"/>
        <v>0</v>
      </c>
    </row>
    <row r="294" spans="1:6" x14ac:dyDescent="0.25">
      <c r="A294" s="1">
        <v>288</v>
      </c>
      <c r="B294" s="17"/>
      <c r="C294" s="8" t="s">
        <v>6</v>
      </c>
      <c r="D294" s="1">
        <v>0</v>
      </c>
      <c r="E294" s="7">
        <f>VLOOKUP(C294,Master!$C$1:$G$6,MATCH(Summary!$E$7,Master!$D$1:$G$1)+1,FALSE)</f>
        <v>0</v>
      </c>
      <c r="F294" s="1">
        <f t="shared" si="4"/>
        <v>0</v>
      </c>
    </row>
    <row r="295" spans="1:6" x14ac:dyDescent="0.25">
      <c r="A295" s="1">
        <v>289</v>
      </c>
      <c r="B295" s="17"/>
      <c r="C295" s="8" t="s">
        <v>6</v>
      </c>
      <c r="D295" s="1">
        <v>0</v>
      </c>
      <c r="E295" s="7">
        <f>VLOOKUP(C295,Master!$C$1:$G$6,MATCH(Summary!$E$7,Master!$D$1:$G$1)+1,FALSE)</f>
        <v>0</v>
      </c>
      <c r="F295" s="1">
        <f t="shared" si="4"/>
        <v>0</v>
      </c>
    </row>
    <row r="296" spans="1:6" x14ac:dyDescent="0.25">
      <c r="A296" s="1">
        <v>290</v>
      </c>
      <c r="B296" s="17"/>
      <c r="C296" s="8" t="s">
        <v>6</v>
      </c>
      <c r="D296" s="1">
        <v>0</v>
      </c>
      <c r="E296" s="7">
        <f>VLOOKUP(C296,Master!$C$1:$G$6,MATCH(Summary!$E$7,Master!$D$1:$G$1)+1,FALSE)</f>
        <v>0</v>
      </c>
      <c r="F296" s="1">
        <f t="shared" si="4"/>
        <v>0</v>
      </c>
    </row>
    <row r="297" spans="1:6" x14ac:dyDescent="0.25">
      <c r="A297" s="1">
        <v>291</v>
      </c>
      <c r="B297" s="17"/>
      <c r="C297" s="8" t="s">
        <v>6</v>
      </c>
      <c r="D297" s="1">
        <v>0</v>
      </c>
      <c r="E297" s="7">
        <f>VLOOKUP(C297,Master!$C$1:$G$6,MATCH(Summary!$E$7,Master!$D$1:$G$1)+1,FALSE)</f>
        <v>0</v>
      </c>
      <c r="F297" s="1">
        <f t="shared" si="4"/>
        <v>0</v>
      </c>
    </row>
    <row r="298" spans="1:6" x14ac:dyDescent="0.25">
      <c r="A298" s="1">
        <v>292</v>
      </c>
      <c r="B298" s="17"/>
      <c r="C298" s="8" t="s">
        <v>6</v>
      </c>
      <c r="D298" s="1">
        <v>0</v>
      </c>
      <c r="E298" s="7">
        <f>VLOOKUP(C298,Master!$C$1:$G$6,MATCH(Summary!$E$7,Master!$D$1:$G$1)+1,FALSE)</f>
        <v>0</v>
      </c>
      <c r="F298" s="1">
        <f t="shared" si="4"/>
        <v>0</v>
      </c>
    </row>
    <row r="299" spans="1:6" x14ac:dyDescent="0.25">
      <c r="A299" s="1">
        <v>293</v>
      </c>
      <c r="B299" s="17"/>
      <c r="C299" s="8" t="s">
        <v>6</v>
      </c>
      <c r="D299" s="1">
        <v>0</v>
      </c>
      <c r="E299" s="7">
        <f>VLOOKUP(C299,Master!$C$1:$G$6,MATCH(Summary!$E$7,Master!$D$1:$G$1)+1,FALSE)</f>
        <v>0</v>
      </c>
      <c r="F299" s="1">
        <f t="shared" si="4"/>
        <v>0</v>
      </c>
    </row>
    <row r="300" spans="1:6" x14ac:dyDescent="0.25">
      <c r="A300" s="1">
        <v>294</v>
      </c>
      <c r="B300" s="17"/>
      <c r="C300" s="8" t="s">
        <v>6</v>
      </c>
      <c r="D300" s="1">
        <v>0</v>
      </c>
      <c r="E300" s="7">
        <f>VLOOKUP(C300,Master!$C$1:$G$6,MATCH(Summary!$E$7,Master!$D$1:$G$1)+1,FALSE)</f>
        <v>0</v>
      </c>
      <c r="F300" s="1">
        <f t="shared" si="4"/>
        <v>0</v>
      </c>
    </row>
    <row r="301" spans="1:6" x14ac:dyDescent="0.25">
      <c r="A301" s="1">
        <v>295</v>
      </c>
      <c r="B301" s="17"/>
      <c r="C301" s="8" t="s">
        <v>6</v>
      </c>
      <c r="D301" s="1">
        <v>0</v>
      </c>
      <c r="E301" s="7">
        <f>VLOOKUP(C301,Master!$C$1:$G$6,MATCH(Summary!$E$7,Master!$D$1:$G$1)+1,FALSE)</f>
        <v>0</v>
      </c>
      <c r="F301" s="1">
        <f t="shared" si="4"/>
        <v>0</v>
      </c>
    </row>
    <row r="302" spans="1:6" x14ac:dyDescent="0.25">
      <c r="A302" s="1">
        <v>296</v>
      </c>
      <c r="B302" s="17"/>
      <c r="C302" s="8" t="s">
        <v>6</v>
      </c>
      <c r="D302" s="1">
        <v>0</v>
      </c>
      <c r="E302" s="7">
        <f>VLOOKUP(C302,Master!$C$1:$G$6,MATCH(Summary!$E$7,Master!$D$1:$G$1)+1,FALSE)</f>
        <v>0</v>
      </c>
      <c r="F302" s="1">
        <f t="shared" si="4"/>
        <v>0</v>
      </c>
    </row>
    <row r="303" spans="1:6" x14ac:dyDescent="0.25">
      <c r="A303" s="1">
        <v>297</v>
      </c>
      <c r="B303" s="17"/>
      <c r="C303" s="8" t="s">
        <v>6</v>
      </c>
      <c r="D303" s="1">
        <v>0</v>
      </c>
      <c r="E303" s="7">
        <f>VLOOKUP(C303,Master!$C$1:$G$6,MATCH(Summary!$E$7,Master!$D$1:$G$1)+1,FALSE)</f>
        <v>0</v>
      </c>
      <c r="F303" s="1">
        <f t="shared" si="4"/>
        <v>0</v>
      </c>
    </row>
    <row r="304" spans="1:6" x14ac:dyDescent="0.25">
      <c r="A304" s="1">
        <v>298</v>
      </c>
      <c r="B304" s="17"/>
      <c r="C304" s="8" t="s">
        <v>6</v>
      </c>
      <c r="D304" s="1">
        <v>0</v>
      </c>
      <c r="E304" s="7">
        <f>VLOOKUP(C304,Master!$C$1:$G$6,MATCH(Summary!$E$7,Master!$D$1:$G$1)+1,FALSE)</f>
        <v>0</v>
      </c>
      <c r="F304" s="1">
        <f t="shared" si="4"/>
        <v>0</v>
      </c>
    </row>
    <row r="305" spans="1:6" x14ac:dyDescent="0.25">
      <c r="A305" s="1">
        <v>299</v>
      </c>
      <c r="B305" s="17"/>
      <c r="C305" s="8" t="s">
        <v>6</v>
      </c>
      <c r="D305" s="1">
        <v>0</v>
      </c>
      <c r="E305" s="7">
        <f>VLOOKUP(C305,Master!$C$1:$G$6,MATCH(Summary!$E$7,Master!$D$1:$G$1)+1,FALSE)</f>
        <v>0</v>
      </c>
      <c r="F305" s="1">
        <f t="shared" si="4"/>
        <v>0</v>
      </c>
    </row>
    <row r="306" spans="1:6" x14ac:dyDescent="0.25">
      <c r="A306" s="1">
        <v>300</v>
      </c>
      <c r="B306" s="17"/>
      <c r="C306" s="8" t="s">
        <v>6</v>
      </c>
      <c r="D306" s="1">
        <v>0</v>
      </c>
      <c r="E306" s="7">
        <f>VLOOKUP(C306,Master!$C$1:$G$6,MATCH(Summary!$E$7,Master!$D$1:$G$1)+1,FALSE)</f>
        <v>0</v>
      </c>
      <c r="F306" s="1">
        <f t="shared" si="4"/>
        <v>0</v>
      </c>
    </row>
  </sheetData>
  <autoFilter ref="A6:F306" xr:uid="{00000000-0009-0000-0000-000004000000}"/>
  <mergeCells count="1">
    <mergeCell ref="B4:F4"/>
  </mergeCells>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Master!$C$2:$C$6</xm:f>
          </x14:formula1>
          <xm:sqref>C7:C306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S303"/>
  <sheetViews>
    <sheetView zoomScale="80" zoomScaleNormal="80" workbookViewId="0">
      <pane ySplit="3" topLeftCell="A85" activePane="bottomLeft" state="frozen"/>
      <selection activeCell="A2" sqref="A2"/>
      <selection pane="bottomLeft" activeCell="G13" sqref="G13"/>
    </sheetView>
  </sheetViews>
  <sheetFormatPr defaultRowHeight="15" x14ac:dyDescent="0.25"/>
  <cols>
    <col min="2" max="2" width="33" customWidth="1"/>
    <col min="3" max="3" width="17.42578125" bestFit="1" customWidth="1"/>
    <col min="4" max="4" width="6.28515625" bestFit="1" customWidth="1"/>
    <col min="5" max="5" width="15" bestFit="1" customWidth="1"/>
    <col min="6" max="6" width="21" bestFit="1" customWidth="1"/>
    <col min="7" max="7" width="16.28515625" bestFit="1" customWidth="1"/>
    <col min="8" max="8" width="15.7109375" customWidth="1"/>
    <col min="9" max="9" width="11.85546875" customWidth="1"/>
    <col min="10" max="10" width="13.85546875" customWidth="1"/>
    <col min="11" max="11" width="14.5703125" bestFit="1" customWidth="1"/>
    <col min="12" max="12" width="18.28515625" bestFit="1" customWidth="1"/>
    <col min="13" max="13" width="18.28515625" customWidth="1"/>
    <col min="14" max="14" width="16.7109375" customWidth="1"/>
    <col min="15" max="15" width="12" customWidth="1"/>
  </cols>
  <sheetData>
    <row r="1" spans="1:19" x14ac:dyDescent="0.25">
      <c r="F1">
        <f>100-O1</f>
        <v>50</v>
      </c>
      <c r="G1" t="s">
        <v>32</v>
      </c>
      <c r="H1">
        <v>5</v>
      </c>
      <c r="I1">
        <v>10</v>
      </c>
      <c r="J1">
        <v>5</v>
      </c>
      <c r="K1">
        <v>15</v>
      </c>
      <c r="L1">
        <v>10</v>
      </c>
      <c r="N1">
        <v>5</v>
      </c>
      <c r="O1">
        <f>SUM(H1:N1)</f>
        <v>50</v>
      </c>
    </row>
    <row r="2" spans="1:19" x14ac:dyDescent="0.25">
      <c r="E2" t="s">
        <v>43</v>
      </c>
      <c r="F2">
        <f>SUM(F4:F303)</f>
        <v>228</v>
      </c>
      <c r="H2">
        <f>SUM(H4:H303)</f>
        <v>22.8</v>
      </c>
      <c r="I2">
        <f t="shared" ref="I2:O2" si="0">SUM(I4:I303)</f>
        <v>45.6</v>
      </c>
      <c r="J2">
        <f t="shared" si="0"/>
        <v>22.8</v>
      </c>
      <c r="K2">
        <f t="shared" si="0"/>
        <v>68.400000000000006</v>
      </c>
      <c r="L2">
        <f t="shared" si="0"/>
        <v>45.6</v>
      </c>
      <c r="N2">
        <f t="shared" si="0"/>
        <v>22.8</v>
      </c>
      <c r="O2">
        <f t="shared" si="0"/>
        <v>456</v>
      </c>
    </row>
    <row r="3" spans="1:19" ht="36.75" customHeight="1" x14ac:dyDescent="0.25">
      <c r="A3" s="5" t="s">
        <v>1</v>
      </c>
      <c r="B3" s="5" t="s">
        <v>3</v>
      </c>
      <c r="C3" s="5" t="s">
        <v>4</v>
      </c>
      <c r="D3" s="5" t="s">
        <v>5</v>
      </c>
      <c r="E3" s="13" t="str">
        <f>CONCATENATE("Unit Effort (",Summary!E8,")")</f>
        <v>Unit Effort (Days)</v>
      </c>
      <c r="F3" s="14" t="str">
        <f>CONCATENATE("Estimated Efforts (",Summary!E8,")")</f>
        <v>Estimated Efforts (Days)</v>
      </c>
      <c r="G3" s="5" t="s">
        <v>23</v>
      </c>
      <c r="H3" s="13" t="str">
        <f>CONCATENATE("Requirements (", Summary!E8,")")</f>
        <v>Requirements (Days)</v>
      </c>
      <c r="I3" s="13" t="str">
        <f>CONCATENATE("Design (",Summary!E8,")")</f>
        <v>Design (Days)</v>
      </c>
      <c r="J3" s="13" t="str">
        <f>CONCATENATE("Integration (",Summary!E8,")")</f>
        <v>Integration (Days)</v>
      </c>
      <c r="K3" s="13" t="str">
        <f>CONCATENATE("Quality Control (", Summary!E8,")")</f>
        <v>Quality Control (Days)</v>
      </c>
      <c r="L3" s="13" t="str">
        <f>CONCATENATE("Acceptance Testing (",Summary!E8,")")</f>
        <v>Acceptance Testing (Days)</v>
      </c>
      <c r="M3" s="13" t="str">
        <f>CONCATENATE("Post Go-Live (",Summary!E8,")")</f>
        <v>Post Go-Live (Days)</v>
      </c>
      <c r="N3" s="6" t="str">
        <f>CONCATENATE("Total (",Summary!E8,")")</f>
        <v>Total (Days)</v>
      </c>
      <c r="O3" s="6" t="s">
        <v>44</v>
      </c>
      <c r="P3" s="3"/>
      <c r="Q3" s="3"/>
      <c r="R3" s="3">
        <v>40</v>
      </c>
      <c r="S3">
        <v>60</v>
      </c>
    </row>
    <row r="4" spans="1:19" x14ac:dyDescent="0.25">
      <c r="A4" s="1">
        <v>1</v>
      </c>
      <c r="B4" s="1" t="s">
        <v>45</v>
      </c>
      <c r="C4" s="8" t="s">
        <v>7</v>
      </c>
      <c r="D4" s="1">
        <v>10</v>
      </c>
      <c r="E4" s="7">
        <f>VLOOKUP(C4,Master!$C$1:$G$6,MATCH(Summary!$E$7,Master!$D$1:$G$1)+1,FALSE)</f>
        <v>3</v>
      </c>
      <c r="F4" s="1">
        <f>E4*D4</f>
        <v>30</v>
      </c>
      <c r="G4" s="8" t="s">
        <v>28</v>
      </c>
      <c r="H4" s="7">
        <f t="shared" ref="H4:H13" si="1">$F4*$H$1/$F$1</f>
        <v>3</v>
      </c>
      <c r="I4" s="7">
        <f>$F4*$I$1/$F$1</f>
        <v>6</v>
      </c>
      <c r="J4" s="7">
        <f>$F4*$J$1/$F$1</f>
        <v>3</v>
      </c>
      <c r="K4" s="7">
        <f>$F4*$K$1/$F$1</f>
        <v>9</v>
      </c>
      <c r="L4" s="7">
        <f>$F4*$L$1/$F$1</f>
        <v>6</v>
      </c>
      <c r="M4" s="7"/>
      <c r="N4" s="7">
        <f>$F4*$N$1/$F$1</f>
        <v>3</v>
      </c>
      <c r="O4" s="7">
        <f>INT(SUM(F4:N4))</f>
        <v>60</v>
      </c>
      <c r="R4">
        <v>264</v>
      </c>
      <c r="S4">
        <f>R4*S3/R3</f>
        <v>396</v>
      </c>
    </row>
    <row r="5" spans="1:19" x14ac:dyDescent="0.25">
      <c r="A5" s="1">
        <v>2</v>
      </c>
      <c r="B5" s="1" t="s">
        <v>33</v>
      </c>
      <c r="C5" s="8" t="s">
        <v>7</v>
      </c>
      <c r="D5" s="1">
        <v>1</v>
      </c>
      <c r="E5" s="7">
        <f>VLOOKUP(C5,Master!$C$1:$G$6,MATCH(Summary!$E$7,Master!$D$1:$G$1)+1,FALSE)</f>
        <v>3</v>
      </c>
      <c r="F5" s="1">
        <f t="shared" ref="F5:F13" si="2">E5*D5</f>
        <v>3</v>
      </c>
      <c r="G5" s="8" t="s">
        <v>24</v>
      </c>
      <c r="H5" s="7">
        <f t="shared" si="1"/>
        <v>0.3</v>
      </c>
      <c r="I5" s="7">
        <f t="shared" ref="I5:I13" si="3">$F5*$I$1/$F$1</f>
        <v>0.6</v>
      </c>
      <c r="J5" s="7">
        <f t="shared" ref="J5:J13" si="4">$F5*$J$1/$F$1</f>
        <v>0.3</v>
      </c>
      <c r="K5" s="7">
        <f t="shared" ref="K5:K13" si="5">$F5*$K$1/$F$1</f>
        <v>0.9</v>
      </c>
      <c r="L5" s="7">
        <f t="shared" ref="L5:L13" si="6">$F5*$L$1/$F$1</f>
        <v>0.6</v>
      </c>
      <c r="M5" s="7"/>
      <c r="N5" s="7">
        <f t="shared" ref="N5:N13" si="7">$F5*$N$1/$F$1</f>
        <v>0.3</v>
      </c>
      <c r="O5" s="7">
        <f t="shared" ref="O5:O23" si="8">INT(SUM(F5:N5))</f>
        <v>6</v>
      </c>
    </row>
    <row r="6" spans="1:19" x14ac:dyDescent="0.25">
      <c r="A6" s="1">
        <v>3</v>
      </c>
      <c r="B6" s="1" t="s">
        <v>35</v>
      </c>
      <c r="C6" s="8" t="s">
        <v>8</v>
      </c>
      <c r="D6" s="1">
        <v>1</v>
      </c>
      <c r="E6" s="7">
        <f>VLOOKUP(C6,Master!$C$1:$G$6,MATCH(Summary!$E$7,Master!$D$1:$G$1)+1,FALSE)</f>
        <v>5</v>
      </c>
      <c r="F6" s="1">
        <f t="shared" si="2"/>
        <v>5</v>
      </c>
      <c r="G6" s="8" t="s">
        <v>24</v>
      </c>
      <c r="H6" s="7">
        <f t="shared" si="1"/>
        <v>0.5</v>
      </c>
      <c r="I6" s="7">
        <f t="shared" si="3"/>
        <v>1</v>
      </c>
      <c r="J6" s="7">
        <f t="shared" si="4"/>
        <v>0.5</v>
      </c>
      <c r="K6" s="7">
        <f t="shared" si="5"/>
        <v>1.5</v>
      </c>
      <c r="L6" s="7">
        <f t="shared" si="6"/>
        <v>1</v>
      </c>
      <c r="M6" s="7"/>
      <c r="N6" s="7">
        <f t="shared" si="7"/>
        <v>0.5</v>
      </c>
      <c r="O6" s="7">
        <f t="shared" si="8"/>
        <v>10</v>
      </c>
    </row>
    <row r="7" spans="1:19" x14ac:dyDescent="0.25">
      <c r="A7" s="1">
        <v>4</v>
      </c>
      <c r="B7" s="1" t="s">
        <v>36</v>
      </c>
      <c r="C7" s="8" t="s">
        <v>8</v>
      </c>
      <c r="D7" s="1">
        <v>2</v>
      </c>
      <c r="E7" s="7">
        <f>VLOOKUP(C7,Master!$C$1:$G$6,MATCH(Summary!$E$7,Master!$D$1:$G$1)+1,FALSE)</f>
        <v>5</v>
      </c>
      <c r="F7" s="1">
        <f t="shared" si="2"/>
        <v>10</v>
      </c>
      <c r="G7" s="8" t="s">
        <v>25</v>
      </c>
      <c r="H7" s="7">
        <f t="shared" si="1"/>
        <v>1</v>
      </c>
      <c r="I7" s="7">
        <f t="shared" si="3"/>
        <v>2</v>
      </c>
      <c r="J7" s="7">
        <f t="shared" si="4"/>
        <v>1</v>
      </c>
      <c r="K7" s="7">
        <f t="shared" si="5"/>
        <v>3</v>
      </c>
      <c r="L7" s="7">
        <f t="shared" si="6"/>
        <v>2</v>
      </c>
      <c r="M7" s="7"/>
      <c r="N7" s="7">
        <f t="shared" si="7"/>
        <v>1</v>
      </c>
      <c r="O7" s="7">
        <f t="shared" si="8"/>
        <v>20</v>
      </c>
    </row>
    <row r="8" spans="1:19" x14ac:dyDescent="0.25">
      <c r="A8" s="1">
        <v>5</v>
      </c>
      <c r="B8" s="1" t="s">
        <v>37</v>
      </c>
      <c r="C8" s="8" t="s">
        <v>8</v>
      </c>
      <c r="D8" s="1">
        <v>4</v>
      </c>
      <c r="E8" s="7">
        <f>VLOOKUP(C8,Master!$C$1:$G$6,MATCH(Summary!$E$7,Master!$D$1:$G$1)+1,FALSE)</f>
        <v>5</v>
      </c>
      <c r="F8" s="1">
        <f t="shared" si="2"/>
        <v>20</v>
      </c>
      <c r="G8" s="8" t="s">
        <v>25</v>
      </c>
      <c r="H8" s="7">
        <f t="shared" si="1"/>
        <v>2</v>
      </c>
      <c r="I8" s="7">
        <f t="shared" si="3"/>
        <v>4</v>
      </c>
      <c r="J8" s="7">
        <f t="shared" si="4"/>
        <v>2</v>
      </c>
      <c r="K8" s="7">
        <f t="shared" si="5"/>
        <v>6</v>
      </c>
      <c r="L8" s="7">
        <f t="shared" si="6"/>
        <v>4</v>
      </c>
      <c r="M8" s="7"/>
      <c r="N8" s="7">
        <f t="shared" si="7"/>
        <v>2</v>
      </c>
      <c r="O8" s="7">
        <f t="shared" si="8"/>
        <v>40</v>
      </c>
    </row>
    <row r="9" spans="1:19" x14ac:dyDescent="0.25">
      <c r="A9" s="1">
        <v>6</v>
      </c>
      <c r="B9" s="1" t="s">
        <v>38</v>
      </c>
      <c r="C9" s="8" t="s">
        <v>7</v>
      </c>
      <c r="D9" s="1">
        <v>5</v>
      </c>
      <c r="E9" s="7">
        <f>VLOOKUP(C9,Master!$C$1:$G$6,MATCH(Summary!$E$7,Master!$D$1:$G$1)+1,FALSE)</f>
        <v>3</v>
      </c>
      <c r="F9" s="1">
        <f t="shared" si="2"/>
        <v>15</v>
      </c>
      <c r="G9" s="8" t="s">
        <v>25</v>
      </c>
      <c r="H9" s="7">
        <f t="shared" si="1"/>
        <v>1.5</v>
      </c>
      <c r="I9" s="7">
        <f t="shared" si="3"/>
        <v>3</v>
      </c>
      <c r="J9" s="7">
        <f t="shared" si="4"/>
        <v>1.5</v>
      </c>
      <c r="K9" s="7">
        <f t="shared" si="5"/>
        <v>4.5</v>
      </c>
      <c r="L9" s="7">
        <f t="shared" si="6"/>
        <v>3</v>
      </c>
      <c r="M9" s="7"/>
      <c r="N9" s="7">
        <f t="shared" si="7"/>
        <v>1.5</v>
      </c>
      <c r="O9" s="7">
        <f t="shared" si="8"/>
        <v>30</v>
      </c>
    </row>
    <row r="10" spans="1:19" x14ac:dyDescent="0.25">
      <c r="A10" s="1">
        <v>7</v>
      </c>
      <c r="B10" s="1" t="s">
        <v>34</v>
      </c>
      <c r="C10" s="8" t="s">
        <v>8</v>
      </c>
      <c r="D10" s="1">
        <v>21</v>
      </c>
      <c r="E10" s="7">
        <f>VLOOKUP(C10,Master!$C$1:$G$6,MATCH(Summary!$E$7,Master!$D$1:$G$1)+1,FALSE)</f>
        <v>5</v>
      </c>
      <c r="F10" s="1">
        <f t="shared" si="2"/>
        <v>105</v>
      </c>
      <c r="G10" s="8" t="s">
        <v>26</v>
      </c>
      <c r="H10" s="7">
        <f t="shared" si="1"/>
        <v>10.5</v>
      </c>
      <c r="I10" s="7">
        <f t="shared" si="3"/>
        <v>21</v>
      </c>
      <c r="J10" s="7">
        <f t="shared" si="4"/>
        <v>10.5</v>
      </c>
      <c r="K10" s="7">
        <f t="shared" si="5"/>
        <v>31.5</v>
      </c>
      <c r="L10" s="7">
        <f t="shared" si="6"/>
        <v>21</v>
      </c>
      <c r="M10" s="7"/>
      <c r="N10" s="7">
        <f t="shared" si="7"/>
        <v>10.5</v>
      </c>
      <c r="O10" s="7">
        <f t="shared" si="8"/>
        <v>210</v>
      </c>
    </row>
    <row r="11" spans="1:19" x14ac:dyDescent="0.25">
      <c r="A11" s="1">
        <v>8</v>
      </c>
      <c r="B11" s="1" t="s">
        <v>39</v>
      </c>
      <c r="C11" s="8" t="s">
        <v>9</v>
      </c>
      <c r="D11" s="1">
        <v>1</v>
      </c>
      <c r="E11" s="7">
        <f>VLOOKUP(C11,Master!$C$1:$G$6,MATCH(Summary!$E$7,Master!$D$1:$G$1)+1,FALSE)</f>
        <v>7</v>
      </c>
      <c r="F11" s="1">
        <f t="shared" si="2"/>
        <v>7</v>
      </c>
      <c r="G11" s="8" t="s">
        <v>26</v>
      </c>
      <c r="H11" s="7">
        <f t="shared" si="1"/>
        <v>0.7</v>
      </c>
      <c r="I11" s="7">
        <f t="shared" si="3"/>
        <v>1.4</v>
      </c>
      <c r="J11" s="7">
        <f t="shared" si="4"/>
        <v>0.7</v>
      </c>
      <c r="K11" s="7">
        <f t="shared" si="5"/>
        <v>2.1</v>
      </c>
      <c r="L11" s="7">
        <f t="shared" si="6"/>
        <v>1.4</v>
      </c>
      <c r="M11" s="7"/>
      <c r="N11" s="7">
        <f t="shared" si="7"/>
        <v>0.7</v>
      </c>
      <c r="O11" s="7">
        <f t="shared" si="8"/>
        <v>14</v>
      </c>
    </row>
    <row r="12" spans="1:19" x14ac:dyDescent="0.25">
      <c r="A12" s="1">
        <v>9</v>
      </c>
      <c r="B12" s="1" t="s">
        <v>40</v>
      </c>
      <c r="C12" s="8" t="s">
        <v>7</v>
      </c>
      <c r="D12" s="1">
        <v>1</v>
      </c>
      <c r="E12" s="7">
        <f>VLOOKUP(C12,Master!$C$1:$G$6,MATCH(Summary!$E$7,Master!$D$1:$G$1)+1,FALSE)</f>
        <v>3</v>
      </c>
      <c r="F12" s="1">
        <f t="shared" si="2"/>
        <v>3</v>
      </c>
      <c r="G12" s="8" t="s">
        <v>27</v>
      </c>
      <c r="H12" s="7">
        <f t="shared" si="1"/>
        <v>0.3</v>
      </c>
      <c r="I12" s="7">
        <f t="shared" si="3"/>
        <v>0.6</v>
      </c>
      <c r="J12" s="7">
        <f t="shared" si="4"/>
        <v>0.3</v>
      </c>
      <c r="K12" s="7">
        <f t="shared" si="5"/>
        <v>0.9</v>
      </c>
      <c r="L12" s="7">
        <f t="shared" si="6"/>
        <v>0.6</v>
      </c>
      <c r="M12" s="7"/>
      <c r="N12" s="7">
        <f t="shared" si="7"/>
        <v>0.3</v>
      </c>
      <c r="O12" s="7">
        <f t="shared" si="8"/>
        <v>6</v>
      </c>
    </row>
    <row r="13" spans="1:19" x14ac:dyDescent="0.25">
      <c r="A13" s="1">
        <v>10</v>
      </c>
      <c r="B13" s="1" t="s">
        <v>41</v>
      </c>
      <c r="C13" s="8" t="s">
        <v>7</v>
      </c>
      <c r="D13" s="1">
        <v>10</v>
      </c>
      <c r="E13" s="7">
        <f>VLOOKUP(C13,Master!$C$1:$G$6,MATCH(Summary!$E$7,Master!$D$1:$G$1)+1,FALSE)</f>
        <v>3</v>
      </c>
      <c r="F13" s="1">
        <f t="shared" si="2"/>
        <v>30</v>
      </c>
      <c r="G13" s="8" t="s">
        <v>29</v>
      </c>
      <c r="H13" s="7">
        <f t="shared" si="1"/>
        <v>3</v>
      </c>
      <c r="I13" s="7">
        <f t="shared" si="3"/>
        <v>6</v>
      </c>
      <c r="J13" s="7">
        <f t="shared" si="4"/>
        <v>3</v>
      </c>
      <c r="K13" s="7">
        <f t="shared" si="5"/>
        <v>9</v>
      </c>
      <c r="L13" s="7">
        <f t="shared" si="6"/>
        <v>6</v>
      </c>
      <c r="M13" s="7"/>
      <c r="N13" s="7">
        <f t="shared" si="7"/>
        <v>3</v>
      </c>
      <c r="O13" s="7">
        <f t="shared" si="8"/>
        <v>60</v>
      </c>
    </row>
    <row r="14" spans="1:19" x14ac:dyDescent="0.25">
      <c r="A14" s="1">
        <v>11</v>
      </c>
      <c r="B14" s="1" t="s">
        <v>34</v>
      </c>
      <c r="C14" s="8" t="s">
        <v>6</v>
      </c>
      <c r="D14" s="1"/>
      <c r="E14" s="7"/>
      <c r="F14" s="1"/>
      <c r="G14" s="1"/>
      <c r="H14" s="7"/>
      <c r="I14" s="7"/>
      <c r="J14" s="7"/>
      <c r="K14" s="7"/>
      <c r="L14" s="7"/>
      <c r="M14" s="7"/>
      <c r="N14" s="7"/>
      <c r="O14" s="7">
        <f t="shared" si="8"/>
        <v>0</v>
      </c>
    </row>
    <row r="15" spans="1:19" x14ac:dyDescent="0.25">
      <c r="A15" s="1">
        <v>12</v>
      </c>
      <c r="B15" s="1"/>
      <c r="C15" s="8" t="s">
        <v>6</v>
      </c>
      <c r="D15" s="1"/>
      <c r="E15" s="7"/>
      <c r="F15" s="1"/>
      <c r="G15" s="1"/>
      <c r="H15" s="7"/>
      <c r="I15" s="7"/>
      <c r="J15" s="7"/>
      <c r="K15" s="7"/>
      <c r="L15" s="7"/>
      <c r="M15" s="7"/>
      <c r="N15" s="7"/>
      <c r="O15" s="7">
        <f t="shared" si="8"/>
        <v>0</v>
      </c>
    </row>
    <row r="16" spans="1:19" x14ac:dyDescent="0.25">
      <c r="A16" s="1">
        <v>13</v>
      </c>
      <c r="B16" s="1"/>
      <c r="C16" s="8" t="s">
        <v>6</v>
      </c>
      <c r="D16" s="1"/>
      <c r="E16" s="7"/>
      <c r="F16" s="1"/>
      <c r="G16" s="1"/>
      <c r="H16" s="7"/>
      <c r="I16" s="7"/>
      <c r="J16" s="7"/>
      <c r="K16" s="7"/>
      <c r="L16" s="7"/>
      <c r="M16" s="7"/>
      <c r="N16" s="7"/>
      <c r="O16" s="7">
        <f t="shared" si="8"/>
        <v>0</v>
      </c>
    </row>
    <row r="17" spans="1:15" x14ac:dyDescent="0.25">
      <c r="A17" s="1">
        <v>14</v>
      </c>
      <c r="B17" s="1"/>
      <c r="C17" s="8" t="s">
        <v>6</v>
      </c>
      <c r="D17" s="1"/>
      <c r="E17" s="7"/>
      <c r="F17" s="1"/>
      <c r="G17" s="1"/>
      <c r="H17" s="7"/>
      <c r="I17" s="7"/>
      <c r="J17" s="7"/>
      <c r="K17" s="7"/>
      <c r="L17" s="7"/>
      <c r="M17" s="7"/>
      <c r="N17" s="7"/>
      <c r="O17" s="7">
        <f t="shared" si="8"/>
        <v>0</v>
      </c>
    </row>
    <row r="18" spans="1:15" x14ac:dyDescent="0.25">
      <c r="A18" s="1">
        <v>15</v>
      </c>
      <c r="B18" s="1"/>
      <c r="C18" s="8" t="s">
        <v>6</v>
      </c>
      <c r="D18" s="1"/>
      <c r="E18" s="7"/>
      <c r="F18" s="1"/>
      <c r="G18" s="1"/>
      <c r="H18" s="7"/>
      <c r="I18" s="7"/>
      <c r="J18" s="7"/>
      <c r="K18" s="7"/>
      <c r="L18" s="7"/>
      <c r="M18" s="7"/>
      <c r="N18" s="7"/>
      <c r="O18" s="7">
        <f t="shared" si="8"/>
        <v>0</v>
      </c>
    </row>
    <row r="19" spans="1:15" x14ac:dyDescent="0.25">
      <c r="A19" s="1">
        <v>16</v>
      </c>
      <c r="B19" s="1"/>
      <c r="C19" s="8" t="s">
        <v>6</v>
      </c>
      <c r="D19" s="1"/>
      <c r="E19" s="7"/>
      <c r="F19" s="1"/>
      <c r="G19" s="1"/>
      <c r="H19" s="7"/>
      <c r="I19" s="7"/>
      <c r="J19" s="7"/>
      <c r="K19" s="7"/>
      <c r="L19" s="7"/>
      <c r="M19" s="7"/>
      <c r="N19" s="7"/>
      <c r="O19" s="7">
        <f t="shared" si="8"/>
        <v>0</v>
      </c>
    </row>
    <row r="20" spans="1:15" x14ac:dyDescent="0.25">
      <c r="A20" s="1">
        <v>17</v>
      </c>
      <c r="B20" s="1"/>
      <c r="C20" s="8" t="s">
        <v>6</v>
      </c>
      <c r="D20" s="1"/>
      <c r="E20" s="7"/>
      <c r="F20" s="1"/>
      <c r="G20" s="1"/>
      <c r="H20" s="7"/>
      <c r="I20" s="7"/>
      <c r="J20" s="7"/>
      <c r="K20" s="7"/>
      <c r="L20" s="7"/>
      <c r="M20" s="7"/>
      <c r="N20" s="7"/>
      <c r="O20" s="7">
        <f t="shared" si="8"/>
        <v>0</v>
      </c>
    </row>
    <row r="21" spans="1:15" x14ac:dyDescent="0.25">
      <c r="A21" s="1">
        <v>18</v>
      </c>
      <c r="B21" s="1"/>
      <c r="C21" s="8" t="s">
        <v>6</v>
      </c>
      <c r="D21" s="1"/>
      <c r="E21" s="7"/>
      <c r="F21" s="1"/>
      <c r="G21" s="1"/>
      <c r="H21" s="7"/>
      <c r="I21" s="7"/>
      <c r="J21" s="7"/>
      <c r="K21" s="7"/>
      <c r="L21" s="7"/>
      <c r="M21" s="7"/>
      <c r="N21" s="7"/>
      <c r="O21" s="7">
        <f t="shared" si="8"/>
        <v>0</v>
      </c>
    </row>
    <row r="22" spans="1:15" x14ac:dyDescent="0.25">
      <c r="A22" s="1">
        <v>19</v>
      </c>
      <c r="B22" s="1"/>
      <c r="C22" s="8" t="s">
        <v>6</v>
      </c>
      <c r="D22" s="1"/>
      <c r="E22" s="7"/>
      <c r="F22" s="1"/>
      <c r="G22" s="1"/>
      <c r="H22" s="7"/>
      <c r="I22" s="7"/>
      <c r="J22" s="7"/>
      <c r="K22" s="7"/>
      <c r="L22" s="7"/>
      <c r="M22" s="7"/>
      <c r="N22" s="7"/>
      <c r="O22" s="7">
        <f t="shared" si="8"/>
        <v>0</v>
      </c>
    </row>
    <row r="23" spans="1:15" x14ac:dyDescent="0.25">
      <c r="A23" s="1">
        <v>20</v>
      </c>
      <c r="B23" s="1"/>
      <c r="C23" s="8" t="s">
        <v>6</v>
      </c>
      <c r="D23" s="1"/>
      <c r="E23" s="7"/>
      <c r="F23" s="1"/>
      <c r="G23" s="1"/>
      <c r="H23" s="7"/>
      <c r="I23" s="7"/>
      <c r="J23" s="7"/>
      <c r="K23" s="7"/>
      <c r="L23" s="7"/>
      <c r="M23" s="7"/>
      <c r="N23" s="7"/>
      <c r="O23" s="7">
        <f t="shared" si="8"/>
        <v>0</v>
      </c>
    </row>
    <row r="24" spans="1:15" x14ac:dyDescent="0.25">
      <c r="A24" s="1">
        <v>21</v>
      </c>
      <c r="B24" s="1"/>
      <c r="C24" s="8" t="s">
        <v>6</v>
      </c>
      <c r="D24" s="1"/>
      <c r="E24" s="7"/>
      <c r="F24" s="1"/>
      <c r="G24" s="1"/>
      <c r="H24" s="7"/>
      <c r="I24" s="7"/>
      <c r="J24" s="7"/>
      <c r="K24" s="7"/>
      <c r="L24" s="7"/>
      <c r="M24" s="7"/>
      <c r="N24" s="7"/>
      <c r="O24" s="7">
        <f t="shared" ref="O24:O49" si="9">SUM(F24:N24)</f>
        <v>0</v>
      </c>
    </row>
    <row r="25" spans="1:15" x14ac:dyDescent="0.25">
      <c r="A25" s="1">
        <v>22</v>
      </c>
      <c r="B25" s="1"/>
      <c r="C25" s="8" t="s">
        <v>6</v>
      </c>
      <c r="D25" s="1"/>
      <c r="E25" s="7"/>
      <c r="F25" s="1"/>
      <c r="G25" s="1"/>
      <c r="H25" s="7"/>
      <c r="I25" s="7"/>
      <c r="J25" s="7"/>
      <c r="K25" s="7"/>
      <c r="L25" s="7"/>
      <c r="M25" s="7"/>
      <c r="N25" s="7"/>
      <c r="O25" s="7">
        <f t="shared" si="9"/>
        <v>0</v>
      </c>
    </row>
    <row r="26" spans="1:15" x14ac:dyDescent="0.25">
      <c r="A26" s="1">
        <v>23</v>
      </c>
      <c r="B26" s="1"/>
      <c r="C26" s="8" t="s">
        <v>6</v>
      </c>
      <c r="D26" s="1"/>
      <c r="E26" s="7"/>
      <c r="F26" s="1"/>
      <c r="G26" s="1"/>
      <c r="H26" s="7"/>
      <c r="I26" s="7"/>
      <c r="J26" s="7"/>
      <c r="K26" s="7"/>
      <c r="L26" s="7"/>
      <c r="M26" s="7"/>
      <c r="N26" s="7"/>
      <c r="O26" s="7">
        <f t="shared" si="9"/>
        <v>0</v>
      </c>
    </row>
    <row r="27" spans="1:15" x14ac:dyDescent="0.25">
      <c r="A27" s="1">
        <v>24</v>
      </c>
      <c r="B27" s="1"/>
      <c r="C27" s="8" t="s">
        <v>6</v>
      </c>
      <c r="D27" s="1"/>
      <c r="E27" s="7"/>
      <c r="F27" s="1"/>
      <c r="G27" s="1"/>
      <c r="H27" s="7"/>
      <c r="I27" s="7"/>
      <c r="J27" s="7"/>
      <c r="K27" s="7"/>
      <c r="L27" s="7"/>
      <c r="M27" s="7"/>
      <c r="N27" s="7"/>
      <c r="O27" s="7">
        <f t="shared" si="9"/>
        <v>0</v>
      </c>
    </row>
    <row r="28" spans="1:15" x14ac:dyDescent="0.25">
      <c r="A28" s="1">
        <v>25</v>
      </c>
      <c r="B28" s="1"/>
      <c r="C28" s="8" t="s">
        <v>6</v>
      </c>
      <c r="D28" s="1"/>
      <c r="E28" s="7"/>
      <c r="F28" s="1"/>
      <c r="G28" s="1"/>
      <c r="H28" s="7"/>
      <c r="I28" s="7"/>
      <c r="J28" s="7"/>
      <c r="K28" s="7"/>
      <c r="L28" s="7"/>
      <c r="M28" s="7"/>
      <c r="N28" s="7"/>
      <c r="O28" s="7">
        <f t="shared" si="9"/>
        <v>0</v>
      </c>
    </row>
    <row r="29" spans="1:15" x14ac:dyDescent="0.25">
      <c r="A29" s="1">
        <v>26</v>
      </c>
      <c r="B29" s="1"/>
      <c r="C29" s="8" t="s">
        <v>6</v>
      </c>
      <c r="D29" s="1"/>
      <c r="E29" s="7"/>
      <c r="F29" s="1"/>
      <c r="G29" s="1"/>
      <c r="H29" s="7"/>
      <c r="I29" s="7"/>
      <c r="J29" s="7"/>
      <c r="K29" s="7"/>
      <c r="L29" s="7"/>
      <c r="M29" s="7"/>
      <c r="N29" s="7"/>
      <c r="O29" s="7">
        <f t="shared" si="9"/>
        <v>0</v>
      </c>
    </row>
    <row r="30" spans="1:15" x14ac:dyDescent="0.25">
      <c r="A30" s="1">
        <v>27</v>
      </c>
      <c r="B30" s="1"/>
      <c r="C30" s="8" t="s">
        <v>6</v>
      </c>
      <c r="D30" s="1"/>
      <c r="E30" s="7"/>
      <c r="F30" s="1"/>
      <c r="G30" s="1"/>
      <c r="H30" s="7"/>
      <c r="I30" s="7"/>
      <c r="J30" s="7"/>
      <c r="K30" s="7"/>
      <c r="L30" s="7"/>
      <c r="M30" s="7"/>
      <c r="N30" s="7"/>
      <c r="O30" s="7">
        <f t="shared" si="9"/>
        <v>0</v>
      </c>
    </row>
    <row r="31" spans="1:15" x14ac:dyDescent="0.25">
      <c r="A31" s="1">
        <v>28</v>
      </c>
      <c r="B31" s="1"/>
      <c r="C31" s="8" t="s">
        <v>6</v>
      </c>
      <c r="D31" s="1"/>
      <c r="E31" s="7"/>
      <c r="F31" s="1"/>
      <c r="G31" s="1"/>
      <c r="H31" s="7"/>
      <c r="I31" s="7"/>
      <c r="J31" s="7"/>
      <c r="K31" s="7"/>
      <c r="L31" s="7"/>
      <c r="M31" s="7"/>
      <c r="N31" s="7"/>
      <c r="O31" s="7">
        <f t="shared" si="9"/>
        <v>0</v>
      </c>
    </row>
    <row r="32" spans="1:15" x14ac:dyDescent="0.25">
      <c r="A32" s="1">
        <v>29</v>
      </c>
      <c r="B32" s="1"/>
      <c r="C32" s="8" t="s">
        <v>6</v>
      </c>
      <c r="D32" s="1"/>
      <c r="E32" s="7"/>
      <c r="F32" s="1"/>
      <c r="G32" s="1"/>
      <c r="H32" s="7"/>
      <c r="I32" s="7"/>
      <c r="J32" s="7"/>
      <c r="K32" s="7"/>
      <c r="L32" s="7"/>
      <c r="M32" s="7"/>
      <c r="N32" s="7"/>
      <c r="O32" s="7">
        <f t="shared" si="9"/>
        <v>0</v>
      </c>
    </row>
    <row r="33" spans="1:15" x14ac:dyDescent="0.25">
      <c r="A33" s="1">
        <v>30</v>
      </c>
      <c r="B33" s="1"/>
      <c r="C33" s="8" t="s">
        <v>6</v>
      </c>
      <c r="D33" s="1"/>
      <c r="E33" s="7"/>
      <c r="F33" s="1"/>
      <c r="G33" s="1"/>
      <c r="H33" s="7"/>
      <c r="I33" s="7"/>
      <c r="J33" s="7"/>
      <c r="K33" s="7"/>
      <c r="L33" s="7"/>
      <c r="M33" s="7"/>
      <c r="N33" s="7"/>
      <c r="O33" s="7">
        <f t="shared" si="9"/>
        <v>0</v>
      </c>
    </row>
    <row r="34" spans="1:15" x14ac:dyDescent="0.25">
      <c r="A34" s="1">
        <v>31</v>
      </c>
      <c r="B34" s="1"/>
      <c r="C34" s="8" t="s">
        <v>6</v>
      </c>
      <c r="D34" s="1"/>
      <c r="E34" s="7"/>
      <c r="F34" s="1"/>
      <c r="G34" s="1"/>
      <c r="H34" s="7"/>
      <c r="I34" s="7"/>
      <c r="J34" s="7"/>
      <c r="K34" s="7"/>
      <c r="L34" s="7"/>
      <c r="M34" s="7"/>
      <c r="N34" s="7"/>
      <c r="O34" s="7">
        <f t="shared" si="9"/>
        <v>0</v>
      </c>
    </row>
    <row r="35" spans="1:15" x14ac:dyDescent="0.25">
      <c r="A35" s="1">
        <v>32</v>
      </c>
      <c r="B35" s="1"/>
      <c r="C35" s="8" t="s">
        <v>6</v>
      </c>
      <c r="D35" s="1"/>
      <c r="E35" s="7"/>
      <c r="F35" s="1"/>
      <c r="G35" s="1"/>
      <c r="H35" s="7"/>
      <c r="I35" s="7"/>
      <c r="J35" s="7"/>
      <c r="K35" s="7"/>
      <c r="L35" s="7"/>
      <c r="M35" s="7"/>
      <c r="N35" s="7"/>
      <c r="O35" s="7">
        <f t="shared" si="9"/>
        <v>0</v>
      </c>
    </row>
    <row r="36" spans="1:15" x14ac:dyDescent="0.25">
      <c r="A36" s="1">
        <v>33</v>
      </c>
      <c r="B36" s="1"/>
      <c r="C36" s="8" t="s">
        <v>6</v>
      </c>
      <c r="D36" s="1"/>
      <c r="E36" s="7"/>
      <c r="F36" s="1"/>
      <c r="G36" s="1"/>
      <c r="H36" s="7"/>
      <c r="I36" s="7"/>
      <c r="J36" s="7"/>
      <c r="K36" s="7"/>
      <c r="L36" s="7"/>
      <c r="M36" s="7"/>
      <c r="N36" s="7"/>
      <c r="O36" s="7">
        <f t="shared" si="9"/>
        <v>0</v>
      </c>
    </row>
    <row r="37" spans="1:15" x14ac:dyDescent="0.25">
      <c r="A37" s="1">
        <v>34</v>
      </c>
      <c r="B37" s="1"/>
      <c r="C37" s="8" t="s">
        <v>6</v>
      </c>
      <c r="D37" s="1"/>
      <c r="E37" s="7"/>
      <c r="F37" s="1"/>
      <c r="G37" s="1"/>
      <c r="H37" s="7"/>
      <c r="I37" s="7"/>
      <c r="J37" s="7"/>
      <c r="K37" s="7"/>
      <c r="L37" s="7"/>
      <c r="M37" s="7"/>
      <c r="N37" s="7"/>
      <c r="O37" s="7">
        <f t="shared" si="9"/>
        <v>0</v>
      </c>
    </row>
    <row r="38" spans="1:15" x14ac:dyDescent="0.25">
      <c r="A38" s="1">
        <v>35</v>
      </c>
      <c r="B38" s="1"/>
      <c r="C38" s="8" t="s">
        <v>6</v>
      </c>
      <c r="D38" s="1"/>
      <c r="E38" s="7"/>
      <c r="F38" s="1"/>
      <c r="G38" s="1"/>
      <c r="H38" s="7"/>
      <c r="I38" s="7"/>
      <c r="J38" s="7"/>
      <c r="K38" s="7"/>
      <c r="L38" s="7"/>
      <c r="M38" s="7"/>
      <c r="N38" s="7"/>
      <c r="O38" s="7">
        <f t="shared" si="9"/>
        <v>0</v>
      </c>
    </row>
    <row r="39" spans="1:15" x14ac:dyDescent="0.25">
      <c r="A39" s="1">
        <v>36</v>
      </c>
      <c r="B39" s="1"/>
      <c r="C39" s="8" t="s">
        <v>6</v>
      </c>
      <c r="D39" s="1"/>
      <c r="E39" s="7"/>
      <c r="F39" s="1"/>
      <c r="G39" s="1"/>
      <c r="H39" s="7"/>
      <c r="I39" s="7"/>
      <c r="J39" s="7"/>
      <c r="K39" s="7"/>
      <c r="L39" s="7"/>
      <c r="M39" s="7"/>
      <c r="N39" s="7"/>
      <c r="O39" s="7">
        <f t="shared" si="9"/>
        <v>0</v>
      </c>
    </row>
    <row r="40" spans="1:15" x14ac:dyDescent="0.25">
      <c r="A40" s="1">
        <v>37</v>
      </c>
      <c r="B40" s="1"/>
      <c r="C40" s="8" t="s">
        <v>6</v>
      </c>
      <c r="D40" s="1"/>
      <c r="E40" s="7"/>
      <c r="F40" s="1"/>
      <c r="G40" s="1"/>
      <c r="H40" s="7"/>
      <c r="I40" s="7"/>
      <c r="J40" s="7"/>
      <c r="K40" s="7"/>
      <c r="L40" s="7"/>
      <c r="M40" s="7"/>
      <c r="N40" s="7"/>
      <c r="O40" s="7">
        <f t="shared" si="9"/>
        <v>0</v>
      </c>
    </row>
    <row r="41" spans="1:15" x14ac:dyDescent="0.25">
      <c r="A41" s="1">
        <v>38</v>
      </c>
      <c r="B41" s="1"/>
      <c r="C41" s="8" t="s">
        <v>6</v>
      </c>
      <c r="D41" s="1"/>
      <c r="E41" s="7"/>
      <c r="F41" s="1"/>
      <c r="G41" s="1"/>
      <c r="H41" s="7"/>
      <c r="I41" s="7"/>
      <c r="J41" s="7"/>
      <c r="K41" s="7"/>
      <c r="L41" s="7"/>
      <c r="M41" s="7"/>
      <c r="N41" s="7"/>
      <c r="O41" s="7">
        <f t="shared" si="9"/>
        <v>0</v>
      </c>
    </row>
    <row r="42" spans="1:15" x14ac:dyDescent="0.25">
      <c r="A42" s="1">
        <v>39</v>
      </c>
      <c r="B42" s="1"/>
      <c r="C42" s="8" t="s">
        <v>6</v>
      </c>
      <c r="D42" s="1"/>
      <c r="E42" s="7"/>
      <c r="F42" s="1"/>
      <c r="G42" s="1"/>
      <c r="H42" s="7"/>
      <c r="I42" s="7"/>
      <c r="J42" s="7"/>
      <c r="K42" s="7"/>
      <c r="L42" s="7"/>
      <c r="M42" s="7"/>
      <c r="N42" s="7"/>
      <c r="O42" s="7">
        <f t="shared" si="9"/>
        <v>0</v>
      </c>
    </row>
    <row r="43" spans="1:15" x14ac:dyDescent="0.25">
      <c r="A43" s="1">
        <v>40</v>
      </c>
      <c r="B43" s="1"/>
      <c r="C43" s="8" t="s">
        <v>6</v>
      </c>
      <c r="D43" s="1"/>
      <c r="E43" s="7"/>
      <c r="F43" s="1"/>
      <c r="G43" s="1"/>
      <c r="H43" s="7"/>
      <c r="I43" s="7"/>
      <c r="J43" s="7"/>
      <c r="K43" s="7"/>
      <c r="L43" s="7"/>
      <c r="M43" s="7"/>
      <c r="N43" s="7"/>
      <c r="O43" s="7">
        <f t="shared" si="9"/>
        <v>0</v>
      </c>
    </row>
    <row r="44" spans="1:15" x14ac:dyDescent="0.25">
      <c r="A44" s="1">
        <v>41</v>
      </c>
      <c r="B44" s="1"/>
      <c r="C44" s="8" t="s">
        <v>6</v>
      </c>
      <c r="D44" s="1"/>
      <c r="E44" s="7"/>
      <c r="F44" s="1"/>
      <c r="G44" s="1"/>
      <c r="H44" s="7"/>
      <c r="I44" s="7"/>
      <c r="J44" s="7"/>
      <c r="K44" s="7"/>
      <c r="L44" s="7"/>
      <c r="M44" s="7"/>
      <c r="N44" s="7"/>
      <c r="O44" s="7">
        <f t="shared" si="9"/>
        <v>0</v>
      </c>
    </row>
    <row r="45" spans="1:15" x14ac:dyDescent="0.25">
      <c r="A45" s="1">
        <v>42</v>
      </c>
      <c r="B45" s="1"/>
      <c r="C45" s="8" t="s">
        <v>6</v>
      </c>
      <c r="D45" s="1"/>
      <c r="E45" s="7"/>
      <c r="F45" s="1"/>
      <c r="G45" s="1"/>
      <c r="H45" s="7"/>
      <c r="I45" s="7"/>
      <c r="J45" s="7"/>
      <c r="K45" s="7"/>
      <c r="L45" s="7"/>
      <c r="M45" s="7"/>
      <c r="N45" s="7"/>
      <c r="O45" s="7">
        <f t="shared" si="9"/>
        <v>0</v>
      </c>
    </row>
    <row r="46" spans="1:15" x14ac:dyDescent="0.25">
      <c r="A46" s="1">
        <v>43</v>
      </c>
      <c r="B46" s="1"/>
      <c r="C46" s="8" t="s">
        <v>6</v>
      </c>
      <c r="D46" s="1"/>
      <c r="E46" s="7"/>
      <c r="F46" s="1"/>
      <c r="G46" s="1"/>
      <c r="H46" s="7"/>
      <c r="I46" s="7"/>
      <c r="J46" s="7"/>
      <c r="K46" s="7"/>
      <c r="L46" s="7"/>
      <c r="M46" s="7"/>
      <c r="N46" s="7"/>
      <c r="O46" s="7">
        <f t="shared" si="9"/>
        <v>0</v>
      </c>
    </row>
    <row r="47" spans="1:15" x14ac:dyDescent="0.25">
      <c r="A47" s="1">
        <v>44</v>
      </c>
      <c r="B47" s="1"/>
      <c r="C47" s="8" t="s">
        <v>6</v>
      </c>
      <c r="D47" s="1"/>
      <c r="E47" s="7"/>
      <c r="F47" s="1"/>
      <c r="G47" s="1"/>
      <c r="H47" s="7"/>
      <c r="I47" s="7"/>
      <c r="J47" s="7"/>
      <c r="K47" s="7"/>
      <c r="L47" s="7"/>
      <c r="M47" s="7"/>
      <c r="N47" s="7"/>
      <c r="O47" s="7">
        <f t="shared" si="9"/>
        <v>0</v>
      </c>
    </row>
    <row r="48" spans="1:15" x14ac:dyDescent="0.25">
      <c r="A48" s="1">
        <v>45</v>
      </c>
      <c r="B48" s="1"/>
      <c r="C48" s="8" t="s">
        <v>6</v>
      </c>
      <c r="D48" s="1"/>
      <c r="E48" s="7"/>
      <c r="F48" s="1"/>
      <c r="G48" s="1"/>
      <c r="H48" s="7"/>
      <c r="I48" s="7"/>
      <c r="J48" s="7"/>
      <c r="K48" s="7"/>
      <c r="L48" s="7"/>
      <c r="M48" s="7"/>
      <c r="N48" s="7"/>
      <c r="O48" s="7">
        <f t="shared" si="9"/>
        <v>0</v>
      </c>
    </row>
    <row r="49" spans="1:15" x14ac:dyDescent="0.25">
      <c r="A49" s="1">
        <v>46</v>
      </c>
      <c r="B49" s="1"/>
      <c r="C49" s="8" t="s">
        <v>6</v>
      </c>
      <c r="D49" s="1"/>
      <c r="E49" s="7"/>
      <c r="F49" s="1"/>
      <c r="G49" s="1"/>
      <c r="H49" s="7"/>
      <c r="I49" s="7"/>
      <c r="J49" s="7"/>
      <c r="K49" s="7"/>
      <c r="L49" s="7"/>
      <c r="M49" s="7"/>
      <c r="N49" s="7"/>
      <c r="O49" s="7">
        <f t="shared" si="9"/>
        <v>0</v>
      </c>
    </row>
    <row r="50" spans="1:15" x14ac:dyDescent="0.25">
      <c r="A50" s="1">
        <v>47</v>
      </c>
      <c r="B50" s="1"/>
      <c r="C50" s="8" t="s">
        <v>6</v>
      </c>
      <c r="D50" s="1"/>
      <c r="E50" s="7"/>
      <c r="F50" s="1"/>
      <c r="G50" s="1"/>
      <c r="H50" s="7"/>
      <c r="I50" s="7"/>
      <c r="J50" s="7"/>
      <c r="K50" s="7"/>
      <c r="L50" s="7"/>
      <c r="M50" s="7"/>
      <c r="N50" s="7"/>
      <c r="O50" s="7"/>
    </row>
    <row r="51" spans="1:15" x14ac:dyDescent="0.25">
      <c r="A51" s="1">
        <v>48</v>
      </c>
      <c r="B51" s="1"/>
      <c r="C51" s="8" t="s">
        <v>6</v>
      </c>
      <c r="D51" s="1"/>
      <c r="E51" s="7"/>
      <c r="F51" s="1"/>
      <c r="G51" s="1"/>
      <c r="H51" s="7"/>
      <c r="I51" s="7"/>
      <c r="J51" s="7"/>
      <c r="K51" s="7"/>
      <c r="L51" s="7"/>
      <c r="M51" s="7"/>
      <c r="N51" s="7"/>
      <c r="O51" s="7"/>
    </row>
    <row r="52" spans="1:15" x14ac:dyDescent="0.25">
      <c r="A52" s="1">
        <v>49</v>
      </c>
      <c r="B52" s="1"/>
      <c r="C52" s="8" t="s">
        <v>6</v>
      </c>
      <c r="D52" s="1"/>
      <c r="E52" s="7"/>
      <c r="F52" s="1"/>
      <c r="G52" s="1"/>
      <c r="H52" s="7"/>
      <c r="I52" s="7"/>
      <c r="J52" s="7"/>
      <c r="K52" s="7"/>
      <c r="L52" s="7"/>
      <c r="M52" s="7"/>
      <c r="N52" s="7"/>
      <c r="O52" s="7"/>
    </row>
    <row r="53" spans="1:15" x14ac:dyDescent="0.25">
      <c r="A53" s="1">
        <v>50</v>
      </c>
      <c r="B53" s="1"/>
      <c r="C53" s="8" t="s">
        <v>6</v>
      </c>
      <c r="D53" s="1"/>
      <c r="E53" s="7"/>
      <c r="F53" s="1"/>
      <c r="G53" s="1"/>
      <c r="H53" s="7"/>
      <c r="I53" s="7"/>
      <c r="J53" s="7"/>
      <c r="K53" s="7"/>
      <c r="L53" s="7"/>
      <c r="M53" s="7"/>
      <c r="N53" s="7"/>
      <c r="O53" s="7"/>
    </row>
    <row r="54" spans="1:15" x14ac:dyDescent="0.25">
      <c r="A54" s="1">
        <v>51</v>
      </c>
      <c r="B54" s="1"/>
      <c r="C54" s="8" t="s">
        <v>6</v>
      </c>
      <c r="D54" s="1"/>
      <c r="E54" s="7"/>
      <c r="F54" s="1"/>
      <c r="G54" s="1"/>
      <c r="H54" s="7"/>
      <c r="I54" s="7"/>
      <c r="J54" s="7"/>
      <c r="K54" s="7"/>
      <c r="L54" s="7"/>
      <c r="M54" s="7"/>
      <c r="N54" s="7"/>
      <c r="O54" s="7"/>
    </row>
    <row r="55" spans="1:15" x14ac:dyDescent="0.25">
      <c r="A55" s="1">
        <v>52</v>
      </c>
      <c r="B55" s="1"/>
      <c r="C55" s="8" t="s">
        <v>6</v>
      </c>
      <c r="D55" s="1"/>
      <c r="E55" s="7"/>
      <c r="F55" s="1"/>
      <c r="G55" s="1"/>
      <c r="H55" s="7"/>
      <c r="I55" s="7"/>
      <c r="J55" s="7"/>
      <c r="K55" s="7"/>
      <c r="L55" s="7"/>
      <c r="M55" s="7"/>
      <c r="N55" s="7"/>
      <c r="O55" s="7"/>
    </row>
    <row r="56" spans="1:15" x14ac:dyDescent="0.25">
      <c r="A56" s="1">
        <v>53</v>
      </c>
      <c r="B56" s="1"/>
      <c r="C56" s="8" t="s">
        <v>6</v>
      </c>
      <c r="D56" s="1"/>
      <c r="E56" s="7"/>
      <c r="F56" s="1"/>
      <c r="G56" s="1"/>
      <c r="H56" s="7"/>
      <c r="I56" s="7"/>
      <c r="J56" s="7"/>
      <c r="K56" s="7"/>
      <c r="L56" s="7"/>
      <c r="M56" s="7"/>
      <c r="N56" s="7"/>
      <c r="O56" s="7"/>
    </row>
    <row r="57" spans="1:15" x14ac:dyDescent="0.25">
      <c r="A57" s="1">
        <v>54</v>
      </c>
      <c r="B57" s="1"/>
      <c r="C57" s="8" t="s">
        <v>6</v>
      </c>
      <c r="D57" s="1"/>
      <c r="E57" s="7"/>
      <c r="F57" s="1"/>
      <c r="G57" s="1"/>
      <c r="H57" s="7"/>
      <c r="I57" s="7"/>
      <c r="J57" s="7"/>
      <c r="K57" s="7"/>
      <c r="L57" s="7"/>
      <c r="M57" s="7"/>
      <c r="N57" s="7"/>
      <c r="O57" s="7"/>
    </row>
    <row r="58" spans="1:15" x14ac:dyDescent="0.25">
      <c r="A58" s="1">
        <v>55</v>
      </c>
      <c r="B58" s="1"/>
      <c r="C58" s="8" t="s">
        <v>6</v>
      </c>
      <c r="D58" s="1"/>
      <c r="E58" s="7"/>
      <c r="F58" s="1"/>
      <c r="G58" s="1"/>
      <c r="H58" s="7"/>
      <c r="I58" s="7"/>
      <c r="J58" s="7"/>
      <c r="K58" s="7"/>
      <c r="L58" s="7"/>
      <c r="M58" s="7"/>
      <c r="N58" s="7"/>
      <c r="O58" s="7"/>
    </row>
    <row r="59" spans="1:15" x14ac:dyDescent="0.25">
      <c r="A59" s="1">
        <v>56</v>
      </c>
      <c r="B59" s="1"/>
      <c r="C59" s="8" t="s">
        <v>6</v>
      </c>
      <c r="D59" s="1"/>
      <c r="E59" s="7"/>
      <c r="F59" s="1"/>
      <c r="G59" s="1"/>
      <c r="H59" s="7"/>
      <c r="I59" s="7"/>
      <c r="J59" s="7"/>
      <c r="K59" s="7"/>
      <c r="L59" s="7"/>
      <c r="M59" s="7"/>
      <c r="N59" s="7"/>
      <c r="O59" s="7"/>
    </row>
    <row r="60" spans="1:15" x14ac:dyDescent="0.25">
      <c r="A60" s="1">
        <v>57</v>
      </c>
      <c r="B60" s="1"/>
      <c r="C60" s="8" t="s">
        <v>6</v>
      </c>
      <c r="D60" s="1"/>
      <c r="E60" s="7"/>
      <c r="F60" s="1"/>
      <c r="G60" s="1"/>
      <c r="H60" s="7"/>
      <c r="I60" s="7"/>
      <c r="J60" s="7"/>
      <c r="K60" s="7"/>
      <c r="L60" s="7"/>
      <c r="M60" s="7"/>
      <c r="N60" s="7"/>
      <c r="O60" s="7"/>
    </row>
    <row r="61" spans="1:15" x14ac:dyDescent="0.25">
      <c r="A61" s="1">
        <v>58</v>
      </c>
      <c r="B61" s="1"/>
      <c r="C61" s="8" t="s">
        <v>6</v>
      </c>
      <c r="D61" s="1"/>
      <c r="E61" s="7"/>
      <c r="F61" s="1"/>
      <c r="G61" s="1"/>
      <c r="H61" s="7"/>
      <c r="I61" s="7"/>
      <c r="J61" s="7"/>
      <c r="K61" s="7"/>
      <c r="L61" s="7"/>
      <c r="M61" s="7"/>
      <c r="N61" s="7"/>
      <c r="O61" s="7"/>
    </row>
    <row r="62" spans="1:15" x14ac:dyDescent="0.25">
      <c r="A62" s="1">
        <v>59</v>
      </c>
      <c r="B62" s="1"/>
      <c r="C62" s="8" t="s">
        <v>6</v>
      </c>
      <c r="D62" s="1"/>
      <c r="E62" s="7"/>
      <c r="F62" s="1"/>
      <c r="G62" s="1"/>
      <c r="H62" s="7"/>
      <c r="I62" s="7"/>
      <c r="J62" s="7"/>
      <c r="K62" s="7"/>
      <c r="L62" s="7"/>
      <c r="M62" s="7"/>
      <c r="N62" s="7"/>
      <c r="O62" s="7"/>
    </row>
    <row r="63" spans="1:15" x14ac:dyDescent="0.25">
      <c r="A63" s="1">
        <v>60</v>
      </c>
      <c r="B63" s="1"/>
      <c r="C63" s="8" t="s">
        <v>6</v>
      </c>
      <c r="D63" s="1"/>
      <c r="E63" s="7"/>
      <c r="F63" s="1"/>
      <c r="G63" s="1"/>
      <c r="H63" s="7"/>
      <c r="I63" s="7"/>
      <c r="J63" s="7"/>
      <c r="K63" s="7"/>
      <c r="L63" s="7"/>
      <c r="M63" s="7"/>
      <c r="N63" s="7"/>
      <c r="O63" s="7"/>
    </row>
    <row r="64" spans="1:15" x14ac:dyDescent="0.25">
      <c r="A64" s="1">
        <v>61</v>
      </c>
      <c r="B64" s="1"/>
      <c r="C64" s="8" t="s">
        <v>6</v>
      </c>
      <c r="D64" s="1"/>
      <c r="E64" s="7"/>
      <c r="F64" s="1"/>
      <c r="G64" s="1"/>
      <c r="H64" s="7"/>
      <c r="I64" s="7"/>
      <c r="J64" s="7"/>
      <c r="K64" s="7"/>
      <c r="L64" s="7"/>
      <c r="M64" s="7"/>
      <c r="N64" s="7"/>
      <c r="O64" s="7"/>
    </row>
    <row r="65" spans="1:15" x14ac:dyDescent="0.25">
      <c r="A65" s="1">
        <v>62</v>
      </c>
      <c r="B65" s="1"/>
      <c r="C65" s="8" t="s">
        <v>6</v>
      </c>
      <c r="D65" s="1"/>
      <c r="E65" s="7"/>
      <c r="F65" s="1"/>
      <c r="G65" s="1"/>
      <c r="H65" s="7"/>
      <c r="I65" s="7"/>
      <c r="J65" s="7"/>
      <c r="K65" s="7"/>
      <c r="L65" s="7"/>
      <c r="M65" s="7"/>
      <c r="N65" s="7"/>
      <c r="O65" s="7"/>
    </row>
    <row r="66" spans="1:15" x14ac:dyDescent="0.25">
      <c r="A66" s="1">
        <v>63</v>
      </c>
      <c r="B66" s="1"/>
      <c r="C66" s="8" t="s">
        <v>6</v>
      </c>
      <c r="D66" s="1"/>
      <c r="E66" s="7"/>
      <c r="F66" s="1"/>
      <c r="G66" s="1"/>
      <c r="H66" s="7"/>
      <c r="I66" s="7"/>
      <c r="J66" s="7"/>
      <c r="K66" s="7"/>
      <c r="L66" s="7"/>
      <c r="M66" s="7"/>
      <c r="N66" s="7"/>
      <c r="O66" s="7"/>
    </row>
    <row r="67" spans="1:15" x14ac:dyDescent="0.25">
      <c r="A67" s="1">
        <v>64</v>
      </c>
      <c r="B67" s="1"/>
      <c r="C67" s="8" t="s">
        <v>6</v>
      </c>
      <c r="D67" s="1"/>
      <c r="E67" s="7"/>
      <c r="F67" s="1"/>
      <c r="G67" s="1"/>
      <c r="H67" s="7"/>
      <c r="I67" s="7"/>
      <c r="J67" s="7"/>
      <c r="K67" s="7"/>
      <c r="L67" s="7"/>
      <c r="M67" s="7"/>
      <c r="N67" s="7"/>
      <c r="O67" s="7"/>
    </row>
    <row r="68" spans="1:15" x14ac:dyDescent="0.25">
      <c r="A68" s="1">
        <v>65</v>
      </c>
      <c r="B68" s="1"/>
      <c r="C68" s="8" t="s">
        <v>6</v>
      </c>
      <c r="D68" s="1"/>
      <c r="E68" s="7"/>
      <c r="F68" s="1"/>
      <c r="G68" s="1"/>
      <c r="H68" s="7"/>
      <c r="I68" s="7"/>
      <c r="J68" s="7"/>
      <c r="K68" s="7"/>
      <c r="L68" s="7"/>
      <c r="M68" s="7"/>
      <c r="N68" s="7"/>
      <c r="O68" s="7"/>
    </row>
    <row r="69" spans="1:15" x14ac:dyDescent="0.25">
      <c r="A69" s="1">
        <v>66</v>
      </c>
      <c r="B69" s="1"/>
      <c r="C69" s="8" t="s">
        <v>6</v>
      </c>
      <c r="D69" s="1"/>
      <c r="E69" s="7"/>
      <c r="F69" s="1"/>
      <c r="G69" s="1"/>
      <c r="H69" s="7"/>
      <c r="I69" s="7"/>
      <c r="J69" s="7"/>
      <c r="K69" s="7"/>
      <c r="L69" s="7"/>
      <c r="M69" s="7"/>
      <c r="N69" s="7"/>
      <c r="O69" s="7"/>
    </row>
    <row r="70" spans="1:15" x14ac:dyDescent="0.25">
      <c r="A70" s="1">
        <v>67</v>
      </c>
      <c r="B70" s="1"/>
      <c r="C70" s="8" t="s">
        <v>6</v>
      </c>
      <c r="D70" s="1"/>
      <c r="E70" s="7"/>
      <c r="F70" s="1"/>
      <c r="G70" s="1"/>
      <c r="H70" s="7"/>
      <c r="I70" s="7"/>
      <c r="J70" s="7"/>
      <c r="K70" s="7"/>
      <c r="L70" s="7"/>
      <c r="M70" s="7"/>
      <c r="N70" s="7"/>
      <c r="O70" s="7"/>
    </row>
    <row r="71" spans="1:15" x14ac:dyDescent="0.25">
      <c r="A71" s="1">
        <v>68</v>
      </c>
      <c r="B71" s="1"/>
      <c r="C71" s="8" t="s">
        <v>6</v>
      </c>
      <c r="D71" s="1"/>
      <c r="E71" s="7"/>
      <c r="F71" s="1"/>
      <c r="G71" s="1"/>
      <c r="H71" s="7"/>
      <c r="I71" s="7"/>
      <c r="J71" s="7"/>
      <c r="K71" s="7"/>
      <c r="L71" s="7"/>
      <c r="M71" s="7"/>
      <c r="N71" s="7"/>
      <c r="O71" s="7"/>
    </row>
    <row r="72" spans="1:15" x14ac:dyDescent="0.25">
      <c r="A72" s="1">
        <v>69</v>
      </c>
      <c r="B72" s="1"/>
      <c r="C72" s="8" t="s">
        <v>6</v>
      </c>
      <c r="D72" s="1"/>
      <c r="E72" s="7"/>
      <c r="F72" s="1"/>
      <c r="G72" s="1"/>
      <c r="H72" s="7"/>
      <c r="I72" s="7"/>
      <c r="J72" s="7"/>
      <c r="K72" s="7"/>
      <c r="L72" s="7"/>
      <c r="M72" s="7"/>
      <c r="N72" s="7"/>
      <c r="O72" s="7"/>
    </row>
    <row r="73" spans="1:15" x14ac:dyDescent="0.25">
      <c r="A73" s="1">
        <v>70</v>
      </c>
      <c r="B73" s="1"/>
      <c r="C73" s="8" t="s">
        <v>6</v>
      </c>
      <c r="D73" s="1"/>
      <c r="E73" s="7"/>
      <c r="F73" s="1"/>
      <c r="G73" s="1"/>
      <c r="H73" s="7"/>
      <c r="I73" s="7"/>
      <c r="J73" s="7"/>
      <c r="K73" s="7"/>
      <c r="L73" s="7"/>
      <c r="M73" s="7"/>
      <c r="N73" s="7"/>
      <c r="O73" s="7"/>
    </row>
    <row r="74" spans="1:15" x14ac:dyDescent="0.25">
      <c r="A74" s="1">
        <v>71</v>
      </c>
      <c r="B74" s="1"/>
      <c r="C74" s="8" t="s">
        <v>6</v>
      </c>
      <c r="D74" s="1"/>
      <c r="E74" s="7"/>
      <c r="F74" s="1"/>
      <c r="G74" s="1"/>
      <c r="H74" s="7"/>
      <c r="I74" s="7"/>
      <c r="J74" s="7"/>
      <c r="K74" s="7"/>
      <c r="L74" s="7"/>
      <c r="M74" s="7"/>
      <c r="N74" s="7"/>
      <c r="O74" s="7"/>
    </row>
    <row r="75" spans="1:15" x14ac:dyDescent="0.25">
      <c r="A75" s="1">
        <v>72</v>
      </c>
      <c r="B75" s="1"/>
      <c r="C75" s="8" t="s">
        <v>6</v>
      </c>
      <c r="D75" s="1"/>
      <c r="E75" s="7"/>
      <c r="F75" s="1"/>
      <c r="G75" s="1"/>
      <c r="H75" s="7"/>
      <c r="I75" s="7"/>
      <c r="J75" s="7"/>
      <c r="K75" s="7"/>
      <c r="L75" s="7"/>
      <c r="M75" s="7"/>
      <c r="N75" s="7"/>
      <c r="O75" s="7"/>
    </row>
    <row r="76" spans="1:15" x14ac:dyDescent="0.25">
      <c r="A76" s="1">
        <v>73</v>
      </c>
      <c r="B76" s="1"/>
      <c r="C76" s="8" t="s">
        <v>6</v>
      </c>
      <c r="D76" s="1"/>
      <c r="E76" s="7"/>
      <c r="F76" s="1"/>
      <c r="G76" s="1"/>
      <c r="H76" s="7"/>
      <c r="I76" s="7"/>
      <c r="J76" s="7"/>
      <c r="K76" s="7"/>
      <c r="L76" s="7"/>
      <c r="M76" s="7"/>
      <c r="N76" s="7"/>
      <c r="O76" s="7"/>
    </row>
    <row r="77" spans="1:15" x14ac:dyDescent="0.25">
      <c r="A77" s="1">
        <v>74</v>
      </c>
      <c r="B77" s="1"/>
      <c r="C77" s="8" t="s">
        <v>6</v>
      </c>
      <c r="D77" s="1"/>
      <c r="E77" s="7"/>
      <c r="F77" s="1"/>
      <c r="G77" s="1"/>
      <c r="H77" s="7"/>
      <c r="I77" s="7"/>
      <c r="J77" s="7"/>
      <c r="K77" s="7"/>
      <c r="L77" s="7"/>
      <c r="M77" s="7"/>
      <c r="N77" s="7"/>
      <c r="O77" s="7"/>
    </row>
    <row r="78" spans="1:15" x14ac:dyDescent="0.25">
      <c r="A78" s="1">
        <v>75</v>
      </c>
      <c r="B78" s="1"/>
      <c r="C78" s="8" t="s">
        <v>6</v>
      </c>
      <c r="D78" s="1"/>
      <c r="E78" s="7"/>
      <c r="F78" s="1"/>
      <c r="G78" s="1"/>
      <c r="H78" s="7"/>
      <c r="I78" s="7"/>
      <c r="J78" s="7"/>
      <c r="K78" s="7"/>
      <c r="L78" s="7"/>
      <c r="M78" s="7"/>
      <c r="N78" s="7"/>
      <c r="O78" s="7"/>
    </row>
    <row r="79" spans="1:15" x14ac:dyDescent="0.25">
      <c r="A79" s="1">
        <v>76</v>
      </c>
      <c r="B79" s="1"/>
      <c r="C79" s="8" t="s">
        <v>6</v>
      </c>
      <c r="D79" s="1"/>
      <c r="E79" s="7"/>
      <c r="F79" s="1"/>
      <c r="G79" s="1"/>
      <c r="H79" s="7"/>
      <c r="I79" s="7"/>
      <c r="J79" s="7"/>
      <c r="K79" s="7"/>
      <c r="L79" s="7"/>
      <c r="M79" s="7"/>
      <c r="N79" s="7"/>
      <c r="O79" s="7"/>
    </row>
    <row r="80" spans="1:15" x14ac:dyDescent="0.25">
      <c r="A80" s="1">
        <v>77</v>
      </c>
      <c r="B80" s="1"/>
      <c r="C80" s="8" t="s">
        <v>6</v>
      </c>
      <c r="D80" s="1"/>
      <c r="E80" s="7"/>
      <c r="F80" s="1"/>
      <c r="G80" s="1"/>
      <c r="H80" s="7"/>
      <c r="I80" s="7"/>
      <c r="J80" s="7"/>
      <c r="K80" s="7"/>
      <c r="L80" s="7"/>
      <c r="M80" s="7"/>
      <c r="N80" s="7"/>
      <c r="O80" s="7"/>
    </row>
    <row r="81" spans="1:15" x14ac:dyDescent="0.25">
      <c r="A81" s="1">
        <v>78</v>
      </c>
      <c r="B81" s="1"/>
      <c r="C81" s="8" t="s">
        <v>6</v>
      </c>
      <c r="D81" s="1"/>
      <c r="E81" s="7"/>
      <c r="F81" s="1"/>
      <c r="G81" s="1"/>
      <c r="H81" s="7"/>
      <c r="I81" s="7"/>
      <c r="J81" s="7"/>
      <c r="K81" s="7"/>
      <c r="L81" s="7"/>
      <c r="M81" s="7"/>
      <c r="N81" s="7"/>
      <c r="O81" s="7"/>
    </row>
    <row r="82" spans="1:15" x14ac:dyDescent="0.25">
      <c r="A82" s="1">
        <v>79</v>
      </c>
      <c r="B82" s="1"/>
      <c r="C82" s="8" t="s">
        <v>6</v>
      </c>
      <c r="D82" s="1"/>
      <c r="E82" s="7"/>
      <c r="F82" s="1"/>
      <c r="G82" s="1"/>
      <c r="H82" s="7"/>
      <c r="I82" s="7"/>
      <c r="J82" s="7"/>
      <c r="K82" s="7"/>
      <c r="L82" s="7"/>
      <c r="M82" s="7"/>
      <c r="N82" s="7"/>
      <c r="O82" s="7"/>
    </row>
    <row r="83" spans="1:15" x14ac:dyDescent="0.25">
      <c r="A83" s="1">
        <v>80</v>
      </c>
      <c r="B83" s="1"/>
      <c r="C83" s="8" t="s">
        <v>6</v>
      </c>
      <c r="D83" s="1"/>
      <c r="E83" s="7"/>
      <c r="F83" s="1"/>
      <c r="G83" s="1"/>
      <c r="H83" s="7"/>
      <c r="I83" s="7"/>
      <c r="J83" s="7"/>
      <c r="K83" s="7"/>
      <c r="L83" s="7"/>
      <c r="M83" s="7"/>
      <c r="N83" s="7"/>
      <c r="O83" s="7"/>
    </row>
    <row r="84" spans="1:15" x14ac:dyDescent="0.25">
      <c r="A84" s="1">
        <v>81</v>
      </c>
      <c r="B84" s="1"/>
      <c r="C84" s="8" t="s">
        <v>6</v>
      </c>
      <c r="D84" s="1"/>
      <c r="E84" s="7"/>
      <c r="F84" s="1"/>
      <c r="G84" s="1"/>
      <c r="H84" s="7"/>
      <c r="I84" s="7"/>
      <c r="J84" s="7"/>
      <c r="K84" s="7"/>
      <c r="L84" s="7"/>
      <c r="M84" s="7"/>
      <c r="N84" s="7"/>
      <c r="O84" s="7"/>
    </row>
    <row r="85" spans="1:15" x14ac:dyDescent="0.25">
      <c r="A85" s="1">
        <v>82</v>
      </c>
      <c r="B85" s="1"/>
      <c r="C85" s="8" t="s">
        <v>6</v>
      </c>
      <c r="D85" s="1"/>
      <c r="E85" s="7"/>
      <c r="F85" s="1"/>
      <c r="G85" s="1"/>
      <c r="H85" s="7"/>
      <c r="I85" s="7"/>
      <c r="J85" s="7"/>
      <c r="K85" s="7"/>
      <c r="L85" s="7"/>
      <c r="M85" s="7"/>
      <c r="N85" s="7"/>
      <c r="O85" s="7"/>
    </row>
    <row r="86" spans="1:15" x14ac:dyDescent="0.25">
      <c r="A86" s="1">
        <v>83</v>
      </c>
      <c r="B86" s="1"/>
      <c r="C86" s="8" t="s">
        <v>6</v>
      </c>
      <c r="D86" s="1"/>
      <c r="E86" s="7"/>
      <c r="F86" s="1"/>
      <c r="G86" s="1"/>
      <c r="H86" s="7"/>
      <c r="I86" s="7"/>
      <c r="J86" s="7"/>
      <c r="K86" s="7"/>
      <c r="L86" s="7"/>
      <c r="M86" s="7"/>
      <c r="N86" s="7"/>
      <c r="O86" s="7"/>
    </row>
    <row r="87" spans="1:15" x14ac:dyDescent="0.25">
      <c r="A87" s="1">
        <v>84</v>
      </c>
      <c r="B87" s="1"/>
      <c r="C87" s="8" t="s">
        <v>6</v>
      </c>
      <c r="D87" s="1"/>
      <c r="E87" s="7"/>
      <c r="F87" s="1"/>
      <c r="G87" s="1"/>
      <c r="H87" s="7"/>
      <c r="I87" s="7"/>
      <c r="J87" s="7"/>
      <c r="K87" s="7"/>
      <c r="L87" s="7"/>
      <c r="M87" s="7"/>
      <c r="N87" s="7"/>
      <c r="O87" s="7"/>
    </row>
    <row r="88" spans="1:15" x14ac:dyDescent="0.25">
      <c r="A88" s="1">
        <v>85</v>
      </c>
      <c r="B88" s="1"/>
      <c r="C88" s="8" t="s">
        <v>6</v>
      </c>
      <c r="D88" s="1"/>
      <c r="E88" s="7"/>
      <c r="F88" s="1"/>
      <c r="G88" s="1"/>
      <c r="H88" s="7"/>
      <c r="I88" s="7"/>
      <c r="J88" s="7"/>
      <c r="K88" s="7"/>
      <c r="L88" s="7"/>
      <c r="M88" s="7"/>
      <c r="N88" s="7"/>
      <c r="O88" s="7"/>
    </row>
    <row r="89" spans="1:15" x14ac:dyDescent="0.25">
      <c r="A89" s="1">
        <v>86</v>
      </c>
      <c r="B89" s="1"/>
      <c r="C89" s="8" t="s">
        <v>6</v>
      </c>
      <c r="D89" s="1"/>
      <c r="E89" s="7"/>
      <c r="F89" s="1"/>
      <c r="G89" s="1"/>
      <c r="H89" s="7"/>
      <c r="I89" s="7"/>
      <c r="J89" s="7"/>
      <c r="K89" s="7"/>
      <c r="L89" s="7"/>
      <c r="M89" s="7"/>
      <c r="N89" s="7"/>
      <c r="O89" s="7"/>
    </row>
    <row r="90" spans="1:15" x14ac:dyDescent="0.25">
      <c r="A90" s="1">
        <v>87</v>
      </c>
      <c r="B90" s="1"/>
      <c r="C90" s="8" t="s">
        <v>6</v>
      </c>
      <c r="D90" s="1"/>
      <c r="E90" s="7"/>
      <c r="F90" s="1"/>
      <c r="G90" s="1"/>
      <c r="H90" s="7"/>
      <c r="I90" s="7"/>
      <c r="J90" s="7"/>
      <c r="K90" s="7"/>
      <c r="L90" s="7"/>
      <c r="M90" s="7"/>
      <c r="N90" s="7"/>
      <c r="O90" s="7"/>
    </row>
    <row r="91" spans="1:15" x14ac:dyDescent="0.25">
      <c r="A91" s="1">
        <v>88</v>
      </c>
      <c r="B91" s="1"/>
      <c r="C91" s="8" t="s">
        <v>6</v>
      </c>
      <c r="D91" s="1"/>
      <c r="E91" s="7"/>
      <c r="F91" s="1"/>
      <c r="G91" s="1"/>
      <c r="H91" s="7"/>
      <c r="I91" s="7"/>
      <c r="J91" s="7"/>
      <c r="K91" s="7"/>
      <c r="L91" s="7"/>
      <c r="M91" s="7"/>
      <c r="N91" s="7"/>
      <c r="O91" s="7"/>
    </row>
    <row r="92" spans="1:15" x14ac:dyDescent="0.25">
      <c r="A92" s="1">
        <v>89</v>
      </c>
      <c r="B92" s="1"/>
      <c r="C92" s="8" t="s">
        <v>6</v>
      </c>
      <c r="D92" s="1"/>
      <c r="E92" s="7"/>
      <c r="F92" s="1"/>
      <c r="G92" s="1"/>
      <c r="H92" s="7"/>
      <c r="I92" s="7"/>
      <c r="J92" s="7"/>
      <c r="K92" s="7"/>
      <c r="L92" s="7"/>
      <c r="M92" s="7"/>
      <c r="N92" s="7"/>
      <c r="O92" s="7"/>
    </row>
    <row r="93" spans="1:15" x14ac:dyDescent="0.25">
      <c r="A93" s="1">
        <v>90</v>
      </c>
      <c r="B93" s="1"/>
      <c r="C93" s="8" t="s">
        <v>6</v>
      </c>
      <c r="D93" s="1"/>
      <c r="E93" s="7"/>
      <c r="F93" s="1"/>
      <c r="G93" s="1"/>
      <c r="H93" s="7"/>
      <c r="I93" s="7"/>
      <c r="J93" s="7"/>
      <c r="K93" s="7"/>
      <c r="L93" s="7"/>
      <c r="M93" s="7"/>
      <c r="N93" s="7"/>
      <c r="O93" s="7"/>
    </row>
    <row r="94" spans="1:15" x14ac:dyDescent="0.25">
      <c r="A94" s="1">
        <v>91</v>
      </c>
      <c r="B94" s="1"/>
      <c r="C94" s="8" t="s">
        <v>6</v>
      </c>
      <c r="D94" s="1"/>
      <c r="E94" s="7"/>
      <c r="F94" s="1"/>
      <c r="G94" s="1"/>
      <c r="H94" s="7"/>
      <c r="I94" s="7"/>
      <c r="J94" s="7"/>
      <c r="K94" s="7"/>
      <c r="L94" s="7"/>
      <c r="M94" s="7"/>
      <c r="N94" s="7"/>
      <c r="O94" s="7"/>
    </row>
    <row r="95" spans="1:15" x14ac:dyDescent="0.25">
      <c r="A95" s="1">
        <v>92</v>
      </c>
      <c r="B95" s="1"/>
      <c r="C95" s="8" t="s">
        <v>6</v>
      </c>
      <c r="D95" s="1"/>
      <c r="E95" s="7"/>
      <c r="F95" s="1"/>
      <c r="G95" s="1"/>
      <c r="H95" s="7"/>
      <c r="I95" s="7"/>
      <c r="J95" s="7"/>
      <c r="K95" s="7"/>
      <c r="L95" s="7"/>
      <c r="M95" s="7"/>
      <c r="N95" s="7"/>
      <c r="O95" s="7"/>
    </row>
    <row r="96" spans="1:15" x14ac:dyDescent="0.25">
      <c r="A96" s="1">
        <v>93</v>
      </c>
      <c r="B96" s="1"/>
      <c r="C96" s="8" t="s">
        <v>6</v>
      </c>
      <c r="D96" s="1"/>
      <c r="E96" s="7"/>
      <c r="F96" s="1"/>
      <c r="G96" s="1"/>
      <c r="H96" s="7"/>
      <c r="I96" s="7"/>
      <c r="J96" s="7"/>
      <c r="K96" s="7"/>
      <c r="L96" s="7"/>
      <c r="M96" s="7"/>
      <c r="N96" s="7"/>
      <c r="O96" s="7"/>
    </row>
    <row r="97" spans="1:15" x14ac:dyDescent="0.25">
      <c r="A97" s="1">
        <v>94</v>
      </c>
      <c r="B97" s="1"/>
      <c r="C97" s="8" t="s">
        <v>6</v>
      </c>
      <c r="D97" s="1"/>
      <c r="E97" s="7"/>
      <c r="F97" s="1"/>
      <c r="G97" s="1"/>
      <c r="H97" s="7"/>
      <c r="I97" s="7"/>
      <c r="J97" s="7"/>
      <c r="K97" s="7"/>
      <c r="L97" s="7"/>
      <c r="M97" s="7"/>
      <c r="N97" s="7"/>
      <c r="O97" s="7"/>
    </row>
    <row r="98" spans="1:15" x14ac:dyDescent="0.25">
      <c r="A98" s="1">
        <v>95</v>
      </c>
      <c r="B98" s="1"/>
      <c r="C98" s="8" t="s">
        <v>6</v>
      </c>
      <c r="D98" s="1"/>
      <c r="E98" s="7"/>
      <c r="F98" s="1"/>
      <c r="G98" s="1"/>
      <c r="H98" s="7"/>
      <c r="I98" s="7"/>
      <c r="J98" s="7"/>
      <c r="K98" s="7"/>
      <c r="L98" s="7"/>
      <c r="M98" s="7"/>
      <c r="N98" s="7"/>
      <c r="O98" s="7"/>
    </row>
    <row r="99" spans="1:15" x14ac:dyDescent="0.25">
      <c r="A99" s="1">
        <v>96</v>
      </c>
      <c r="B99" s="1"/>
      <c r="C99" s="8" t="s">
        <v>6</v>
      </c>
      <c r="D99" s="1"/>
      <c r="E99" s="7"/>
      <c r="F99" s="1"/>
      <c r="G99" s="1"/>
      <c r="H99" s="7"/>
      <c r="I99" s="7"/>
      <c r="J99" s="7"/>
      <c r="K99" s="7"/>
      <c r="L99" s="7"/>
      <c r="M99" s="7"/>
      <c r="N99" s="7"/>
      <c r="O99" s="7"/>
    </row>
    <row r="100" spans="1:15" x14ac:dyDescent="0.25">
      <c r="A100" s="1">
        <v>97</v>
      </c>
      <c r="B100" s="1"/>
      <c r="C100" s="8" t="s">
        <v>6</v>
      </c>
      <c r="D100" s="1"/>
      <c r="E100" s="7"/>
      <c r="F100" s="1"/>
      <c r="G100" s="1"/>
      <c r="H100" s="7"/>
      <c r="I100" s="7"/>
      <c r="J100" s="7"/>
      <c r="K100" s="7"/>
      <c r="L100" s="7"/>
      <c r="M100" s="7"/>
      <c r="N100" s="7"/>
      <c r="O100" s="7"/>
    </row>
    <row r="101" spans="1:15" x14ac:dyDescent="0.25">
      <c r="A101" s="1">
        <v>98</v>
      </c>
      <c r="B101" s="1"/>
      <c r="C101" s="8" t="s">
        <v>6</v>
      </c>
      <c r="D101" s="1"/>
      <c r="E101" s="7"/>
      <c r="F101" s="1"/>
      <c r="G101" s="1"/>
      <c r="H101" s="7"/>
      <c r="I101" s="7"/>
      <c r="J101" s="7"/>
      <c r="K101" s="7"/>
      <c r="L101" s="7"/>
      <c r="M101" s="7"/>
      <c r="N101" s="7"/>
      <c r="O101" s="7"/>
    </row>
    <row r="102" spans="1:15" x14ac:dyDescent="0.25">
      <c r="A102" s="1">
        <v>99</v>
      </c>
      <c r="B102" s="1"/>
      <c r="C102" s="8" t="s">
        <v>6</v>
      </c>
      <c r="D102" s="1"/>
      <c r="E102" s="7"/>
      <c r="F102" s="1"/>
      <c r="G102" s="1"/>
      <c r="H102" s="7"/>
      <c r="I102" s="7"/>
      <c r="J102" s="7"/>
      <c r="K102" s="7"/>
      <c r="L102" s="7"/>
      <c r="M102" s="7"/>
      <c r="N102" s="7"/>
      <c r="O102" s="7"/>
    </row>
    <row r="103" spans="1:15" x14ac:dyDescent="0.25">
      <c r="A103" s="1">
        <v>100</v>
      </c>
      <c r="B103" s="1"/>
      <c r="C103" s="8" t="s">
        <v>6</v>
      </c>
      <c r="D103" s="1"/>
      <c r="E103" s="7"/>
      <c r="F103" s="1"/>
      <c r="G103" s="1"/>
      <c r="H103" s="7"/>
      <c r="I103" s="7"/>
      <c r="J103" s="7"/>
      <c r="K103" s="7"/>
      <c r="L103" s="7"/>
      <c r="M103" s="7"/>
      <c r="N103" s="7"/>
      <c r="O103" s="7"/>
    </row>
    <row r="104" spans="1:15" x14ac:dyDescent="0.25">
      <c r="A104" s="1">
        <v>101</v>
      </c>
      <c r="B104" s="1"/>
      <c r="C104" s="8" t="s">
        <v>6</v>
      </c>
      <c r="D104" s="1"/>
      <c r="E104" s="7"/>
      <c r="F104" s="1"/>
      <c r="G104" s="1"/>
      <c r="H104" s="7"/>
      <c r="I104" s="7"/>
      <c r="J104" s="7"/>
      <c r="K104" s="7"/>
      <c r="L104" s="7"/>
      <c r="M104" s="7"/>
      <c r="N104" s="7"/>
      <c r="O104" s="7"/>
    </row>
    <row r="105" spans="1:15" x14ac:dyDescent="0.25">
      <c r="A105" s="1">
        <v>102</v>
      </c>
      <c r="B105" s="1"/>
      <c r="C105" s="8" t="s">
        <v>6</v>
      </c>
      <c r="D105" s="1"/>
      <c r="E105" s="7"/>
      <c r="F105" s="1"/>
      <c r="G105" s="1"/>
      <c r="H105" s="7"/>
      <c r="I105" s="7"/>
      <c r="J105" s="7"/>
      <c r="K105" s="7"/>
      <c r="L105" s="7"/>
      <c r="M105" s="7"/>
      <c r="N105" s="7"/>
      <c r="O105" s="7"/>
    </row>
    <row r="106" spans="1:15" x14ac:dyDescent="0.25">
      <c r="A106" s="1">
        <v>103</v>
      </c>
      <c r="B106" s="1"/>
      <c r="C106" s="8" t="s">
        <v>6</v>
      </c>
      <c r="D106" s="1"/>
      <c r="E106" s="7"/>
      <c r="F106" s="1"/>
      <c r="G106" s="1"/>
      <c r="H106" s="7"/>
      <c r="I106" s="7"/>
      <c r="J106" s="7"/>
      <c r="K106" s="7"/>
      <c r="L106" s="7"/>
      <c r="M106" s="7"/>
      <c r="N106" s="7"/>
      <c r="O106" s="7"/>
    </row>
    <row r="107" spans="1:15" x14ac:dyDescent="0.25">
      <c r="A107" s="1">
        <v>104</v>
      </c>
      <c r="B107" s="1"/>
      <c r="C107" s="8" t="s">
        <v>6</v>
      </c>
      <c r="D107" s="1"/>
      <c r="E107" s="7"/>
      <c r="F107" s="1"/>
      <c r="G107" s="1"/>
      <c r="H107" s="7"/>
      <c r="I107" s="7"/>
      <c r="J107" s="7"/>
      <c r="K107" s="7"/>
      <c r="L107" s="7"/>
      <c r="M107" s="7"/>
      <c r="N107" s="7"/>
      <c r="O107" s="7"/>
    </row>
    <row r="108" spans="1:15" x14ac:dyDescent="0.25">
      <c r="A108" s="1">
        <v>105</v>
      </c>
      <c r="B108" s="1"/>
      <c r="C108" s="8" t="s">
        <v>6</v>
      </c>
      <c r="D108" s="1"/>
      <c r="E108" s="7"/>
      <c r="F108" s="1"/>
      <c r="G108" s="1"/>
      <c r="H108" s="7"/>
      <c r="I108" s="7"/>
      <c r="J108" s="7"/>
      <c r="K108" s="7"/>
      <c r="L108" s="7"/>
      <c r="M108" s="7"/>
      <c r="N108" s="7"/>
      <c r="O108" s="7"/>
    </row>
    <row r="109" spans="1:15" x14ac:dyDescent="0.25">
      <c r="A109" s="1">
        <v>106</v>
      </c>
      <c r="B109" s="1"/>
      <c r="C109" s="8" t="s">
        <v>6</v>
      </c>
      <c r="D109" s="1"/>
      <c r="E109" s="7"/>
      <c r="F109" s="1"/>
      <c r="G109" s="1"/>
      <c r="H109" s="7"/>
      <c r="I109" s="7"/>
      <c r="J109" s="7"/>
      <c r="K109" s="7"/>
      <c r="L109" s="7"/>
      <c r="M109" s="7"/>
      <c r="N109" s="7"/>
      <c r="O109" s="7"/>
    </row>
    <row r="110" spans="1:15" x14ac:dyDescent="0.25">
      <c r="A110" s="1">
        <v>107</v>
      </c>
      <c r="B110" s="1"/>
      <c r="C110" s="8" t="s">
        <v>6</v>
      </c>
      <c r="D110" s="1"/>
      <c r="E110" s="7"/>
      <c r="F110" s="1"/>
      <c r="G110" s="1"/>
      <c r="H110" s="7"/>
      <c r="I110" s="7"/>
      <c r="J110" s="7"/>
      <c r="K110" s="7"/>
      <c r="L110" s="7"/>
      <c r="M110" s="7"/>
      <c r="N110" s="7"/>
      <c r="O110" s="7"/>
    </row>
    <row r="111" spans="1:15" x14ac:dyDescent="0.25">
      <c r="A111" s="1">
        <v>108</v>
      </c>
      <c r="B111" s="1"/>
      <c r="C111" s="8" t="s">
        <v>6</v>
      </c>
      <c r="D111" s="1"/>
      <c r="E111" s="7"/>
      <c r="F111" s="1"/>
      <c r="G111" s="1"/>
      <c r="H111" s="7"/>
      <c r="I111" s="7"/>
      <c r="J111" s="7"/>
      <c r="K111" s="7"/>
      <c r="L111" s="7"/>
      <c r="M111" s="7"/>
      <c r="N111" s="7"/>
      <c r="O111" s="7"/>
    </row>
    <row r="112" spans="1:15" x14ac:dyDescent="0.25">
      <c r="A112" s="1">
        <v>109</v>
      </c>
      <c r="B112" s="1"/>
      <c r="C112" s="8" t="s">
        <v>6</v>
      </c>
      <c r="D112" s="1"/>
      <c r="E112" s="7"/>
      <c r="F112" s="1"/>
      <c r="G112" s="1"/>
      <c r="H112" s="7"/>
      <c r="I112" s="7"/>
      <c r="J112" s="7"/>
      <c r="K112" s="7"/>
      <c r="L112" s="7"/>
      <c r="M112" s="7"/>
      <c r="N112" s="7"/>
      <c r="O112" s="7"/>
    </row>
    <row r="113" spans="1:15" x14ac:dyDescent="0.25">
      <c r="A113" s="1">
        <v>110</v>
      </c>
      <c r="B113" s="1"/>
      <c r="C113" s="8" t="s">
        <v>6</v>
      </c>
      <c r="D113" s="1"/>
      <c r="E113" s="7"/>
      <c r="F113" s="1"/>
      <c r="G113" s="1"/>
      <c r="H113" s="7"/>
      <c r="I113" s="7"/>
      <c r="J113" s="7"/>
      <c r="K113" s="7"/>
      <c r="L113" s="7"/>
      <c r="M113" s="7"/>
      <c r="N113" s="7"/>
      <c r="O113" s="7"/>
    </row>
    <row r="114" spans="1:15" x14ac:dyDescent="0.25">
      <c r="A114" s="1">
        <v>111</v>
      </c>
      <c r="B114" s="1"/>
      <c r="C114" s="8" t="s">
        <v>6</v>
      </c>
      <c r="D114" s="1"/>
      <c r="E114" s="7"/>
      <c r="F114" s="1"/>
      <c r="G114" s="1"/>
      <c r="H114" s="7"/>
      <c r="I114" s="7"/>
      <c r="J114" s="7"/>
      <c r="K114" s="7"/>
      <c r="L114" s="7"/>
      <c r="M114" s="7"/>
      <c r="N114" s="7"/>
      <c r="O114" s="7"/>
    </row>
    <row r="115" spans="1:15" x14ac:dyDescent="0.25">
      <c r="A115" s="1">
        <v>112</v>
      </c>
      <c r="B115" s="1"/>
      <c r="C115" s="8" t="s">
        <v>6</v>
      </c>
      <c r="D115" s="1"/>
      <c r="E115" s="7"/>
      <c r="F115" s="1"/>
      <c r="G115" s="1"/>
      <c r="H115" s="7"/>
      <c r="I115" s="7"/>
      <c r="J115" s="7"/>
      <c r="K115" s="7"/>
      <c r="L115" s="7"/>
      <c r="M115" s="7"/>
      <c r="N115" s="7"/>
      <c r="O115" s="7"/>
    </row>
    <row r="116" spans="1:15" x14ac:dyDescent="0.25">
      <c r="A116" s="1">
        <v>113</v>
      </c>
      <c r="B116" s="1"/>
      <c r="C116" s="8" t="s">
        <v>6</v>
      </c>
      <c r="D116" s="1"/>
      <c r="E116" s="7"/>
      <c r="F116" s="1"/>
      <c r="G116" s="1"/>
      <c r="H116" s="7"/>
      <c r="I116" s="7"/>
      <c r="J116" s="7"/>
      <c r="K116" s="7"/>
      <c r="L116" s="7"/>
      <c r="M116" s="7"/>
      <c r="N116" s="7"/>
      <c r="O116" s="7"/>
    </row>
    <row r="117" spans="1:15" x14ac:dyDescent="0.25">
      <c r="A117" s="1">
        <v>114</v>
      </c>
      <c r="B117" s="1"/>
      <c r="C117" s="8" t="s">
        <v>6</v>
      </c>
      <c r="D117" s="1"/>
      <c r="E117" s="7"/>
      <c r="F117" s="1"/>
      <c r="G117" s="1"/>
      <c r="H117" s="7"/>
      <c r="I117" s="7"/>
      <c r="J117" s="7"/>
      <c r="K117" s="7"/>
      <c r="L117" s="7"/>
      <c r="M117" s="7"/>
      <c r="N117" s="7"/>
      <c r="O117" s="7"/>
    </row>
    <row r="118" spans="1:15" x14ac:dyDescent="0.25">
      <c r="A118" s="1">
        <v>115</v>
      </c>
      <c r="B118" s="1"/>
      <c r="C118" s="8" t="s">
        <v>6</v>
      </c>
      <c r="D118" s="1"/>
      <c r="E118" s="7"/>
      <c r="F118" s="1"/>
      <c r="G118" s="1"/>
      <c r="H118" s="7"/>
      <c r="I118" s="7"/>
      <c r="J118" s="7"/>
      <c r="K118" s="7"/>
      <c r="L118" s="7"/>
      <c r="M118" s="7"/>
      <c r="N118" s="7"/>
      <c r="O118" s="7"/>
    </row>
    <row r="119" spans="1:15" x14ac:dyDescent="0.25">
      <c r="A119" s="1">
        <v>116</v>
      </c>
      <c r="B119" s="1"/>
      <c r="C119" s="8" t="s">
        <v>6</v>
      </c>
      <c r="D119" s="1"/>
      <c r="E119" s="7"/>
      <c r="F119" s="1"/>
      <c r="G119" s="1"/>
      <c r="H119" s="7"/>
      <c r="I119" s="7"/>
      <c r="J119" s="7"/>
      <c r="K119" s="7"/>
      <c r="L119" s="7"/>
      <c r="M119" s="7"/>
      <c r="N119" s="7"/>
      <c r="O119" s="7"/>
    </row>
    <row r="120" spans="1:15" x14ac:dyDescent="0.25">
      <c r="A120" s="1">
        <v>117</v>
      </c>
      <c r="B120" s="1"/>
      <c r="C120" s="8" t="s">
        <v>6</v>
      </c>
      <c r="D120" s="1"/>
      <c r="E120" s="7"/>
      <c r="F120" s="1"/>
      <c r="G120" s="1"/>
      <c r="H120" s="7"/>
      <c r="I120" s="7"/>
      <c r="J120" s="7"/>
      <c r="K120" s="7"/>
      <c r="L120" s="7"/>
      <c r="M120" s="7"/>
      <c r="N120" s="7"/>
      <c r="O120" s="7"/>
    </row>
    <row r="121" spans="1:15" x14ac:dyDescent="0.25">
      <c r="A121" s="1">
        <v>118</v>
      </c>
      <c r="B121" s="1"/>
      <c r="C121" s="8" t="s">
        <v>6</v>
      </c>
      <c r="D121" s="1"/>
      <c r="E121" s="7"/>
      <c r="F121" s="1"/>
      <c r="G121" s="1"/>
      <c r="H121" s="7"/>
      <c r="I121" s="7"/>
      <c r="J121" s="7"/>
      <c r="K121" s="7"/>
      <c r="L121" s="7"/>
      <c r="M121" s="7"/>
      <c r="N121" s="7"/>
      <c r="O121" s="7"/>
    </row>
    <row r="122" spans="1:15" x14ac:dyDescent="0.25">
      <c r="A122" s="1">
        <v>119</v>
      </c>
      <c r="B122" s="1"/>
      <c r="C122" s="8" t="s">
        <v>6</v>
      </c>
      <c r="D122" s="1"/>
      <c r="E122" s="7"/>
      <c r="F122" s="1"/>
      <c r="G122" s="1"/>
      <c r="H122" s="7"/>
      <c r="I122" s="7"/>
      <c r="J122" s="7"/>
      <c r="K122" s="7"/>
      <c r="L122" s="7"/>
      <c r="M122" s="7"/>
      <c r="N122" s="7"/>
      <c r="O122" s="7"/>
    </row>
    <row r="123" spans="1:15" x14ac:dyDescent="0.25">
      <c r="A123" s="1">
        <v>120</v>
      </c>
      <c r="B123" s="1"/>
      <c r="C123" s="8" t="s">
        <v>6</v>
      </c>
      <c r="D123" s="1"/>
      <c r="E123" s="7"/>
      <c r="F123" s="1"/>
      <c r="G123" s="1"/>
      <c r="H123" s="7"/>
      <c r="I123" s="7"/>
      <c r="J123" s="7"/>
      <c r="K123" s="7"/>
      <c r="L123" s="7"/>
      <c r="M123" s="7"/>
      <c r="N123" s="7"/>
      <c r="O123" s="7"/>
    </row>
    <row r="124" spans="1:15" x14ac:dyDescent="0.25">
      <c r="A124" s="1">
        <v>121</v>
      </c>
      <c r="B124" s="1"/>
      <c r="C124" s="8" t="s">
        <v>6</v>
      </c>
      <c r="D124" s="1"/>
      <c r="E124" s="7"/>
      <c r="F124" s="1"/>
      <c r="G124" s="1"/>
      <c r="H124" s="7"/>
      <c r="I124" s="7"/>
      <c r="J124" s="7"/>
      <c r="K124" s="7"/>
      <c r="L124" s="7"/>
      <c r="M124" s="7"/>
      <c r="N124" s="7"/>
      <c r="O124" s="7"/>
    </row>
    <row r="125" spans="1:15" x14ac:dyDescent="0.25">
      <c r="A125" s="1">
        <v>122</v>
      </c>
      <c r="B125" s="1"/>
      <c r="C125" s="8" t="s">
        <v>6</v>
      </c>
      <c r="D125" s="1"/>
      <c r="E125" s="7"/>
      <c r="F125" s="1"/>
      <c r="G125" s="1"/>
      <c r="H125" s="7"/>
      <c r="I125" s="7"/>
      <c r="J125" s="7"/>
      <c r="K125" s="7"/>
      <c r="L125" s="7"/>
      <c r="M125" s="7"/>
      <c r="N125" s="7"/>
      <c r="O125" s="7"/>
    </row>
    <row r="126" spans="1:15" x14ac:dyDescent="0.25">
      <c r="A126" s="1">
        <v>123</v>
      </c>
      <c r="B126" s="1"/>
      <c r="C126" s="8" t="s">
        <v>6</v>
      </c>
      <c r="D126" s="1"/>
      <c r="E126" s="7"/>
      <c r="F126" s="1"/>
      <c r="G126" s="1"/>
      <c r="H126" s="7"/>
      <c r="I126" s="7"/>
      <c r="J126" s="7"/>
      <c r="K126" s="7"/>
      <c r="L126" s="7"/>
      <c r="M126" s="7"/>
      <c r="N126" s="7"/>
      <c r="O126" s="7"/>
    </row>
    <row r="127" spans="1:15" x14ac:dyDescent="0.25">
      <c r="A127" s="1">
        <v>124</v>
      </c>
      <c r="B127" s="1"/>
      <c r="C127" s="8" t="s">
        <v>6</v>
      </c>
      <c r="D127" s="1"/>
      <c r="E127" s="7"/>
      <c r="F127" s="1"/>
      <c r="G127" s="1"/>
      <c r="H127" s="7"/>
      <c r="I127" s="7"/>
      <c r="J127" s="7"/>
      <c r="K127" s="7"/>
      <c r="L127" s="7"/>
      <c r="M127" s="7"/>
      <c r="N127" s="7"/>
      <c r="O127" s="7"/>
    </row>
    <row r="128" spans="1:15" x14ac:dyDescent="0.25">
      <c r="A128" s="1">
        <v>125</v>
      </c>
      <c r="B128" s="1"/>
      <c r="C128" s="8" t="s">
        <v>6</v>
      </c>
      <c r="D128" s="1"/>
      <c r="E128" s="7"/>
      <c r="F128" s="1"/>
      <c r="G128" s="1"/>
      <c r="H128" s="7"/>
      <c r="I128" s="7"/>
      <c r="J128" s="7"/>
      <c r="K128" s="7"/>
      <c r="L128" s="7"/>
      <c r="M128" s="7"/>
      <c r="N128" s="7"/>
      <c r="O128" s="7"/>
    </row>
    <row r="129" spans="1:15" x14ac:dyDescent="0.25">
      <c r="A129" s="1">
        <v>126</v>
      </c>
      <c r="B129" s="1"/>
      <c r="C129" s="8" t="s">
        <v>6</v>
      </c>
      <c r="D129" s="1"/>
      <c r="E129" s="7"/>
      <c r="F129" s="1"/>
      <c r="G129" s="1"/>
      <c r="H129" s="7"/>
      <c r="I129" s="7"/>
      <c r="J129" s="7"/>
      <c r="K129" s="7"/>
      <c r="L129" s="7"/>
      <c r="M129" s="7"/>
      <c r="N129" s="7"/>
      <c r="O129" s="7"/>
    </row>
    <row r="130" spans="1:15" x14ac:dyDescent="0.25">
      <c r="A130" s="1">
        <v>127</v>
      </c>
      <c r="B130" s="1"/>
      <c r="C130" s="8" t="s">
        <v>6</v>
      </c>
      <c r="D130" s="1"/>
      <c r="E130" s="7"/>
      <c r="F130" s="1"/>
      <c r="G130" s="1"/>
      <c r="H130" s="7"/>
      <c r="I130" s="7"/>
      <c r="J130" s="7"/>
      <c r="K130" s="7"/>
      <c r="L130" s="7"/>
      <c r="M130" s="7"/>
      <c r="N130" s="7"/>
      <c r="O130" s="7"/>
    </row>
    <row r="131" spans="1:15" x14ac:dyDescent="0.25">
      <c r="A131" s="1">
        <v>128</v>
      </c>
      <c r="B131" s="1"/>
      <c r="C131" s="8" t="s">
        <v>6</v>
      </c>
      <c r="D131" s="1"/>
      <c r="E131" s="7"/>
      <c r="F131" s="1"/>
      <c r="G131" s="1"/>
      <c r="H131" s="7"/>
      <c r="I131" s="7"/>
      <c r="J131" s="7"/>
      <c r="K131" s="7"/>
      <c r="L131" s="7"/>
      <c r="M131" s="7"/>
      <c r="N131" s="7"/>
      <c r="O131" s="7"/>
    </row>
    <row r="132" spans="1:15" x14ac:dyDescent="0.25">
      <c r="A132" s="1">
        <v>129</v>
      </c>
      <c r="B132" s="1"/>
      <c r="C132" s="8" t="s">
        <v>6</v>
      </c>
      <c r="D132" s="1"/>
      <c r="E132" s="7"/>
      <c r="F132" s="1"/>
      <c r="G132" s="1"/>
      <c r="H132" s="7"/>
      <c r="I132" s="7"/>
      <c r="J132" s="7"/>
      <c r="K132" s="7"/>
      <c r="L132" s="7"/>
      <c r="M132" s="7"/>
      <c r="N132" s="7"/>
      <c r="O132" s="7"/>
    </row>
    <row r="133" spans="1:15" x14ac:dyDescent="0.25">
      <c r="A133" s="1">
        <v>130</v>
      </c>
      <c r="B133" s="1"/>
      <c r="C133" s="8" t="s">
        <v>6</v>
      </c>
      <c r="D133" s="1"/>
      <c r="E133" s="7"/>
      <c r="F133" s="1"/>
      <c r="G133" s="1"/>
      <c r="H133" s="7"/>
      <c r="I133" s="7"/>
      <c r="J133" s="7"/>
      <c r="K133" s="7"/>
      <c r="L133" s="7"/>
      <c r="M133" s="7"/>
      <c r="N133" s="7"/>
      <c r="O133" s="7"/>
    </row>
    <row r="134" spans="1:15" x14ac:dyDescent="0.25">
      <c r="A134" s="1">
        <v>131</v>
      </c>
      <c r="B134" s="1"/>
      <c r="C134" s="8" t="s">
        <v>6</v>
      </c>
      <c r="D134" s="1"/>
      <c r="E134" s="7"/>
      <c r="F134" s="1"/>
      <c r="G134" s="1"/>
      <c r="H134" s="7"/>
      <c r="I134" s="7"/>
      <c r="J134" s="7"/>
      <c r="K134" s="7"/>
      <c r="L134" s="7"/>
      <c r="M134" s="7"/>
      <c r="N134" s="7"/>
      <c r="O134" s="7"/>
    </row>
    <row r="135" spans="1:15" x14ac:dyDescent="0.25">
      <c r="A135" s="1">
        <v>132</v>
      </c>
      <c r="B135" s="1"/>
      <c r="C135" s="8" t="s">
        <v>6</v>
      </c>
      <c r="D135" s="1"/>
      <c r="E135" s="7"/>
      <c r="F135" s="1"/>
      <c r="G135" s="1"/>
      <c r="H135" s="7"/>
      <c r="I135" s="7"/>
      <c r="J135" s="7"/>
      <c r="K135" s="7"/>
      <c r="L135" s="7"/>
      <c r="M135" s="7"/>
      <c r="N135" s="7"/>
      <c r="O135" s="7"/>
    </row>
    <row r="136" spans="1:15" x14ac:dyDescent="0.25">
      <c r="A136" s="1">
        <v>133</v>
      </c>
      <c r="B136" s="1"/>
      <c r="C136" s="8" t="s">
        <v>6</v>
      </c>
      <c r="D136" s="1"/>
      <c r="E136" s="7"/>
      <c r="F136" s="1"/>
      <c r="G136" s="1"/>
      <c r="H136" s="7"/>
      <c r="I136" s="7"/>
      <c r="J136" s="7"/>
      <c r="K136" s="7"/>
      <c r="L136" s="7"/>
      <c r="M136" s="7"/>
      <c r="N136" s="7"/>
      <c r="O136" s="7"/>
    </row>
    <row r="137" spans="1:15" x14ac:dyDescent="0.25">
      <c r="A137" s="1">
        <v>134</v>
      </c>
      <c r="B137" s="1"/>
      <c r="C137" s="8" t="s">
        <v>6</v>
      </c>
      <c r="D137" s="1"/>
      <c r="E137" s="7"/>
      <c r="F137" s="1"/>
      <c r="G137" s="1"/>
      <c r="H137" s="7"/>
      <c r="I137" s="7"/>
      <c r="J137" s="7"/>
      <c r="K137" s="7"/>
      <c r="L137" s="7"/>
      <c r="M137" s="7"/>
      <c r="N137" s="7"/>
      <c r="O137" s="7"/>
    </row>
    <row r="138" spans="1:15" x14ac:dyDescent="0.25">
      <c r="A138" s="1">
        <v>135</v>
      </c>
      <c r="B138" s="1"/>
      <c r="C138" s="8" t="s">
        <v>6</v>
      </c>
      <c r="D138" s="1"/>
      <c r="E138" s="7"/>
      <c r="F138" s="1"/>
      <c r="G138" s="1"/>
      <c r="H138" s="7"/>
      <c r="I138" s="7"/>
      <c r="J138" s="7"/>
      <c r="K138" s="7"/>
      <c r="L138" s="7"/>
      <c r="M138" s="7"/>
      <c r="N138" s="7"/>
      <c r="O138" s="7"/>
    </row>
    <row r="139" spans="1:15" x14ac:dyDescent="0.25">
      <c r="A139" s="1">
        <v>136</v>
      </c>
      <c r="B139" s="1"/>
      <c r="C139" s="8" t="s">
        <v>6</v>
      </c>
      <c r="D139" s="1"/>
      <c r="E139" s="7"/>
      <c r="F139" s="1"/>
      <c r="G139" s="1"/>
      <c r="H139" s="7"/>
      <c r="I139" s="7"/>
      <c r="J139" s="7"/>
      <c r="K139" s="7"/>
      <c r="L139" s="7"/>
      <c r="M139" s="7"/>
      <c r="N139" s="7"/>
      <c r="O139" s="7"/>
    </row>
    <row r="140" spans="1:15" x14ac:dyDescent="0.25">
      <c r="A140" s="1">
        <v>137</v>
      </c>
      <c r="B140" s="1"/>
      <c r="C140" s="8" t="s">
        <v>6</v>
      </c>
      <c r="D140" s="1"/>
      <c r="E140" s="7"/>
      <c r="F140" s="1"/>
      <c r="G140" s="1"/>
      <c r="H140" s="7"/>
      <c r="I140" s="7"/>
      <c r="J140" s="7"/>
      <c r="K140" s="7"/>
      <c r="L140" s="7"/>
      <c r="M140" s="7"/>
      <c r="N140" s="7"/>
      <c r="O140" s="7"/>
    </row>
    <row r="141" spans="1:15" x14ac:dyDescent="0.25">
      <c r="A141" s="1">
        <v>138</v>
      </c>
      <c r="B141" s="1"/>
      <c r="C141" s="8" t="s">
        <v>6</v>
      </c>
      <c r="D141" s="1"/>
      <c r="E141" s="7"/>
      <c r="F141" s="1"/>
      <c r="G141" s="1"/>
      <c r="H141" s="7"/>
      <c r="I141" s="7"/>
      <c r="J141" s="7"/>
      <c r="K141" s="7"/>
      <c r="L141" s="7"/>
      <c r="M141" s="7"/>
      <c r="N141" s="7"/>
      <c r="O141" s="7"/>
    </row>
    <row r="142" spans="1:15" x14ac:dyDescent="0.25">
      <c r="A142" s="1">
        <v>139</v>
      </c>
      <c r="B142" s="1"/>
      <c r="C142" s="8" t="s">
        <v>6</v>
      </c>
      <c r="D142" s="1"/>
      <c r="E142" s="7"/>
      <c r="F142" s="1"/>
      <c r="G142" s="1"/>
      <c r="H142" s="7"/>
      <c r="I142" s="7"/>
      <c r="J142" s="7"/>
      <c r="K142" s="7"/>
      <c r="L142" s="7"/>
      <c r="M142" s="7"/>
      <c r="N142" s="7"/>
      <c r="O142" s="7"/>
    </row>
    <row r="143" spans="1:15" x14ac:dyDescent="0.25">
      <c r="A143" s="1">
        <v>140</v>
      </c>
      <c r="B143" s="1"/>
      <c r="C143" s="8" t="s">
        <v>6</v>
      </c>
      <c r="D143" s="1"/>
      <c r="E143" s="7"/>
      <c r="F143" s="1"/>
      <c r="G143" s="1"/>
      <c r="H143" s="7"/>
      <c r="I143" s="7"/>
      <c r="J143" s="7"/>
      <c r="K143" s="7"/>
      <c r="L143" s="7"/>
      <c r="M143" s="7"/>
      <c r="N143" s="7"/>
      <c r="O143" s="7"/>
    </row>
    <row r="144" spans="1:15" x14ac:dyDescent="0.25">
      <c r="A144" s="1">
        <v>141</v>
      </c>
      <c r="B144" s="1"/>
      <c r="C144" s="8" t="s">
        <v>6</v>
      </c>
      <c r="D144" s="1"/>
      <c r="E144" s="7"/>
      <c r="F144" s="1"/>
      <c r="G144" s="1"/>
      <c r="H144" s="7"/>
      <c r="I144" s="7"/>
      <c r="J144" s="7"/>
      <c r="K144" s="7"/>
      <c r="L144" s="7"/>
      <c r="M144" s="7"/>
      <c r="N144" s="7"/>
      <c r="O144" s="7"/>
    </row>
    <row r="145" spans="1:15" x14ac:dyDescent="0.25">
      <c r="A145" s="1">
        <v>142</v>
      </c>
      <c r="B145" s="1"/>
      <c r="C145" s="8" t="s">
        <v>6</v>
      </c>
      <c r="D145" s="1"/>
      <c r="E145" s="7"/>
      <c r="F145" s="1"/>
      <c r="G145" s="1"/>
      <c r="H145" s="7"/>
      <c r="I145" s="7"/>
      <c r="J145" s="7"/>
      <c r="K145" s="7"/>
      <c r="L145" s="7"/>
      <c r="M145" s="7"/>
      <c r="N145" s="7"/>
      <c r="O145" s="7"/>
    </row>
    <row r="146" spans="1:15" x14ac:dyDescent="0.25">
      <c r="A146" s="1">
        <v>143</v>
      </c>
      <c r="B146" s="1"/>
      <c r="C146" s="8" t="s">
        <v>6</v>
      </c>
      <c r="D146" s="1"/>
      <c r="E146" s="7"/>
      <c r="F146" s="1"/>
      <c r="G146" s="1"/>
      <c r="H146" s="7"/>
      <c r="I146" s="7"/>
      <c r="J146" s="7"/>
      <c r="K146" s="7"/>
      <c r="L146" s="7"/>
      <c r="M146" s="7"/>
      <c r="N146" s="7"/>
      <c r="O146" s="7"/>
    </row>
    <row r="147" spans="1:15" x14ac:dyDescent="0.25">
      <c r="A147" s="1">
        <v>144</v>
      </c>
      <c r="B147" s="1"/>
      <c r="C147" s="8" t="s">
        <v>6</v>
      </c>
      <c r="D147" s="1"/>
      <c r="E147" s="7"/>
      <c r="F147" s="1"/>
      <c r="G147" s="1"/>
      <c r="H147" s="7"/>
      <c r="I147" s="7"/>
      <c r="J147" s="7"/>
      <c r="K147" s="7"/>
      <c r="L147" s="7"/>
      <c r="M147" s="7"/>
      <c r="N147" s="7"/>
      <c r="O147" s="7"/>
    </row>
    <row r="148" spans="1:15" x14ac:dyDescent="0.25">
      <c r="A148" s="1">
        <v>145</v>
      </c>
      <c r="B148" s="1"/>
      <c r="C148" s="8" t="s">
        <v>6</v>
      </c>
      <c r="D148" s="1"/>
      <c r="E148" s="7"/>
      <c r="F148" s="1"/>
      <c r="G148" s="1"/>
      <c r="H148" s="7"/>
      <c r="I148" s="7"/>
      <c r="J148" s="7"/>
      <c r="K148" s="7"/>
      <c r="L148" s="7"/>
      <c r="M148" s="7"/>
      <c r="N148" s="7"/>
      <c r="O148" s="7"/>
    </row>
    <row r="149" spans="1:15" x14ac:dyDescent="0.25">
      <c r="A149" s="1">
        <v>146</v>
      </c>
      <c r="B149" s="1"/>
      <c r="C149" s="8" t="s">
        <v>6</v>
      </c>
      <c r="D149" s="1"/>
      <c r="E149" s="7"/>
      <c r="F149" s="1"/>
      <c r="G149" s="1"/>
      <c r="H149" s="7"/>
      <c r="I149" s="7"/>
      <c r="J149" s="7"/>
      <c r="K149" s="7"/>
      <c r="L149" s="7"/>
      <c r="M149" s="7"/>
      <c r="N149" s="7"/>
      <c r="O149" s="7"/>
    </row>
    <row r="150" spans="1:15" x14ac:dyDescent="0.25">
      <c r="A150" s="1">
        <v>147</v>
      </c>
      <c r="B150" s="1"/>
      <c r="C150" s="8" t="s">
        <v>6</v>
      </c>
      <c r="D150" s="1"/>
      <c r="E150" s="7"/>
      <c r="F150" s="1"/>
      <c r="G150" s="1"/>
      <c r="H150" s="7"/>
      <c r="I150" s="7"/>
      <c r="J150" s="7"/>
      <c r="K150" s="7"/>
      <c r="L150" s="7"/>
      <c r="M150" s="7"/>
      <c r="N150" s="7"/>
      <c r="O150" s="7"/>
    </row>
    <row r="151" spans="1:15" x14ac:dyDescent="0.25">
      <c r="A151" s="1">
        <v>148</v>
      </c>
      <c r="B151" s="1"/>
      <c r="C151" s="8" t="s">
        <v>6</v>
      </c>
      <c r="D151" s="1"/>
      <c r="E151" s="7"/>
      <c r="F151" s="1"/>
      <c r="G151" s="1"/>
      <c r="H151" s="7"/>
      <c r="I151" s="7"/>
      <c r="J151" s="7"/>
      <c r="K151" s="7"/>
      <c r="L151" s="7"/>
      <c r="M151" s="7"/>
      <c r="N151" s="7"/>
      <c r="O151" s="7"/>
    </row>
    <row r="152" spans="1:15" x14ac:dyDescent="0.25">
      <c r="A152" s="1">
        <v>149</v>
      </c>
      <c r="B152" s="1"/>
      <c r="C152" s="8" t="s">
        <v>6</v>
      </c>
      <c r="D152" s="1"/>
      <c r="E152" s="7"/>
      <c r="F152" s="1"/>
      <c r="G152" s="1"/>
      <c r="H152" s="7"/>
      <c r="I152" s="7"/>
      <c r="J152" s="7"/>
      <c r="K152" s="7"/>
      <c r="L152" s="7"/>
      <c r="M152" s="7"/>
      <c r="N152" s="7"/>
      <c r="O152" s="7"/>
    </row>
    <row r="153" spans="1:15" x14ac:dyDescent="0.25">
      <c r="A153" s="1">
        <v>150</v>
      </c>
      <c r="B153" s="1"/>
      <c r="C153" s="8" t="s">
        <v>6</v>
      </c>
      <c r="D153" s="1"/>
      <c r="E153" s="7"/>
      <c r="F153" s="1"/>
      <c r="G153" s="1"/>
      <c r="H153" s="7"/>
      <c r="I153" s="7"/>
      <c r="J153" s="7"/>
      <c r="K153" s="7"/>
      <c r="L153" s="7"/>
      <c r="M153" s="7"/>
      <c r="N153" s="7"/>
      <c r="O153" s="7"/>
    </row>
    <row r="154" spans="1:15" x14ac:dyDescent="0.25">
      <c r="A154" s="1">
        <v>151</v>
      </c>
      <c r="B154" s="1"/>
      <c r="C154" s="8" t="s">
        <v>6</v>
      </c>
      <c r="D154" s="1"/>
      <c r="E154" s="7"/>
      <c r="F154" s="1"/>
      <c r="G154" s="1"/>
      <c r="H154" s="7"/>
      <c r="I154" s="7"/>
      <c r="J154" s="7"/>
      <c r="K154" s="7"/>
      <c r="L154" s="7"/>
      <c r="M154" s="7"/>
      <c r="N154" s="7"/>
      <c r="O154" s="7"/>
    </row>
    <row r="155" spans="1:15" x14ac:dyDescent="0.25">
      <c r="A155" s="1">
        <v>152</v>
      </c>
      <c r="B155" s="1"/>
      <c r="C155" s="8" t="s">
        <v>6</v>
      </c>
      <c r="D155" s="1"/>
      <c r="E155" s="7"/>
      <c r="F155" s="1"/>
      <c r="G155" s="1"/>
      <c r="H155" s="7"/>
      <c r="I155" s="7"/>
      <c r="J155" s="7"/>
      <c r="K155" s="7"/>
      <c r="L155" s="7"/>
      <c r="M155" s="7"/>
      <c r="N155" s="7"/>
      <c r="O155" s="7"/>
    </row>
    <row r="156" spans="1:15" x14ac:dyDescent="0.25">
      <c r="A156" s="1">
        <v>153</v>
      </c>
      <c r="B156" s="1"/>
      <c r="C156" s="8" t="s">
        <v>6</v>
      </c>
      <c r="D156" s="1"/>
      <c r="E156" s="7"/>
      <c r="F156" s="1"/>
      <c r="G156" s="1"/>
      <c r="H156" s="7"/>
      <c r="I156" s="7"/>
      <c r="J156" s="7"/>
      <c r="K156" s="7"/>
      <c r="L156" s="7"/>
      <c r="M156" s="7"/>
      <c r="N156" s="7"/>
      <c r="O156" s="7"/>
    </row>
    <row r="157" spans="1:15" x14ac:dyDescent="0.25">
      <c r="A157" s="1">
        <v>154</v>
      </c>
      <c r="B157" s="1"/>
      <c r="C157" s="8" t="s">
        <v>6</v>
      </c>
      <c r="D157" s="1"/>
      <c r="E157" s="7"/>
      <c r="F157" s="1"/>
      <c r="G157" s="1"/>
      <c r="H157" s="7"/>
      <c r="I157" s="7"/>
      <c r="J157" s="7"/>
      <c r="K157" s="7"/>
      <c r="L157" s="7"/>
      <c r="M157" s="7"/>
      <c r="N157" s="7"/>
      <c r="O157" s="7"/>
    </row>
    <row r="158" spans="1:15" x14ac:dyDescent="0.25">
      <c r="A158" s="1">
        <v>155</v>
      </c>
      <c r="B158" s="1"/>
      <c r="C158" s="8" t="s">
        <v>6</v>
      </c>
      <c r="D158" s="1"/>
      <c r="E158" s="7"/>
      <c r="F158" s="1"/>
      <c r="G158" s="1"/>
      <c r="H158" s="7"/>
      <c r="I158" s="7"/>
      <c r="J158" s="7"/>
      <c r="K158" s="7"/>
      <c r="L158" s="7"/>
      <c r="M158" s="7"/>
      <c r="N158" s="7"/>
      <c r="O158" s="7"/>
    </row>
    <row r="159" spans="1:15" x14ac:dyDescent="0.25">
      <c r="A159" s="1">
        <v>156</v>
      </c>
      <c r="B159" s="1"/>
      <c r="C159" s="8" t="s">
        <v>6</v>
      </c>
      <c r="D159" s="1"/>
      <c r="E159" s="7"/>
      <c r="F159" s="1"/>
      <c r="G159" s="1"/>
      <c r="H159" s="7"/>
      <c r="I159" s="7"/>
      <c r="J159" s="7"/>
      <c r="K159" s="7"/>
      <c r="L159" s="7"/>
      <c r="M159" s="7"/>
      <c r="N159" s="7"/>
      <c r="O159" s="7"/>
    </row>
    <row r="160" spans="1:15" x14ac:dyDescent="0.25">
      <c r="A160" s="1">
        <v>157</v>
      </c>
      <c r="B160" s="1"/>
      <c r="C160" s="8" t="s">
        <v>6</v>
      </c>
      <c r="D160" s="1"/>
      <c r="E160" s="7"/>
      <c r="F160" s="1"/>
      <c r="G160" s="1"/>
      <c r="H160" s="7"/>
      <c r="I160" s="7"/>
      <c r="J160" s="7"/>
      <c r="K160" s="7"/>
      <c r="L160" s="7"/>
      <c r="M160" s="7"/>
      <c r="N160" s="7"/>
      <c r="O160" s="7"/>
    </row>
    <row r="161" spans="1:15" x14ac:dyDescent="0.25">
      <c r="A161" s="1">
        <v>158</v>
      </c>
      <c r="B161" s="1"/>
      <c r="C161" s="8" t="s">
        <v>6</v>
      </c>
      <c r="D161" s="1"/>
      <c r="E161" s="7"/>
      <c r="F161" s="1"/>
      <c r="G161" s="1"/>
      <c r="H161" s="7"/>
      <c r="I161" s="7"/>
      <c r="J161" s="7"/>
      <c r="K161" s="7"/>
      <c r="L161" s="7"/>
      <c r="M161" s="7"/>
      <c r="N161" s="7"/>
      <c r="O161" s="7"/>
    </row>
    <row r="162" spans="1:15" x14ac:dyDescent="0.25">
      <c r="A162" s="1">
        <v>159</v>
      </c>
      <c r="B162" s="1"/>
      <c r="C162" s="8" t="s">
        <v>6</v>
      </c>
      <c r="D162" s="1"/>
      <c r="E162" s="7"/>
      <c r="F162" s="1"/>
      <c r="G162" s="1"/>
      <c r="H162" s="7"/>
      <c r="I162" s="7"/>
      <c r="J162" s="7"/>
      <c r="K162" s="7"/>
      <c r="L162" s="7"/>
      <c r="M162" s="7"/>
      <c r="N162" s="7"/>
      <c r="O162" s="7"/>
    </row>
    <row r="163" spans="1:15" x14ac:dyDescent="0.25">
      <c r="A163" s="1">
        <v>160</v>
      </c>
      <c r="B163" s="1"/>
      <c r="C163" s="8" t="s">
        <v>6</v>
      </c>
      <c r="D163" s="1"/>
      <c r="E163" s="7"/>
      <c r="F163" s="1"/>
      <c r="G163" s="1"/>
      <c r="H163" s="7"/>
      <c r="I163" s="7"/>
      <c r="J163" s="7"/>
      <c r="K163" s="7"/>
      <c r="L163" s="7"/>
      <c r="M163" s="7"/>
      <c r="N163" s="7"/>
      <c r="O163" s="7"/>
    </row>
    <row r="164" spans="1:15" x14ac:dyDescent="0.25">
      <c r="A164" s="1">
        <v>161</v>
      </c>
      <c r="B164" s="1"/>
      <c r="C164" s="8" t="s">
        <v>6</v>
      </c>
      <c r="D164" s="1"/>
      <c r="E164" s="7"/>
      <c r="F164" s="1"/>
      <c r="G164" s="1"/>
      <c r="H164" s="7"/>
      <c r="I164" s="7"/>
      <c r="J164" s="7"/>
      <c r="K164" s="7"/>
      <c r="L164" s="7"/>
      <c r="M164" s="7"/>
      <c r="N164" s="7"/>
      <c r="O164" s="7"/>
    </row>
    <row r="165" spans="1:15" x14ac:dyDescent="0.25">
      <c r="A165" s="1">
        <v>162</v>
      </c>
      <c r="B165" s="1"/>
      <c r="C165" s="8" t="s">
        <v>6</v>
      </c>
      <c r="D165" s="1"/>
      <c r="E165" s="7"/>
      <c r="F165" s="1"/>
      <c r="G165" s="1"/>
      <c r="H165" s="7"/>
      <c r="I165" s="7"/>
      <c r="J165" s="7"/>
      <c r="K165" s="7"/>
      <c r="L165" s="7"/>
      <c r="M165" s="7"/>
      <c r="N165" s="7"/>
      <c r="O165" s="7"/>
    </row>
    <row r="166" spans="1:15" x14ac:dyDescent="0.25">
      <c r="A166" s="1">
        <v>163</v>
      </c>
      <c r="B166" s="1"/>
      <c r="C166" s="8" t="s">
        <v>6</v>
      </c>
      <c r="D166" s="1"/>
      <c r="E166" s="7"/>
      <c r="F166" s="1"/>
      <c r="G166" s="1"/>
      <c r="H166" s="7"/>
      <c r="I166" s="7"/>
      <c r="J166" s="7"/>
      <c r="K166" s="7"/>
      <c r="L166" s="7"/>
      <c r="M166" s="7"/>
      <c r="N166" s="7"/>
      <c r="O166" s="7"/>
    </row>
    <row r="167" spans="1:15" x14ac:dyDescent="0.25">
      <c r="A167" s="1">
        <v>164</v>
      </c>
      <c r="B167" s="1"/>
      <c r="C167" s="8" t="s">
        <v>6</v>
      </c>
      <c r="D167" s="1"/>
      <c r="E167" s="7"/>
      <c r="F167" s="1"/>
      <c r="G167" s="1"/>
      <c r="H167" s="7"/>
      <c r="I167" s="7"/>
      <c r="J167" s="7"/>
      <c r="K167" s="7"/>
      <c r="L167" s="7"/>
      <c r="M167" s="7"/>
      <c r="N167" s="7"/>
      <c r="O167" s="7"/>
    </row>
    <row r="168" spans="1:15" x14ac:dyDescent="0.25">
      <c r="A168" s="1">
        <v>165</v>
      </c>
      <c r="B168" s="1"/>
      <c r="C168" s="8" t="s">
        <v>6</v>
      </c>
      <c r="D168" s="1"/>
      <c r="E168" s="7"/>
      <c r="F168" s="1"/>
      <c r="G168" s="1"/>
      <c r="H168" s="7"/>
      <c r="I168" s="7"/>
      <c r="J168" s="7"/>
      <c r="K168" s="7"/>
      <c r="L168" s="7"/>
      <c r="M168" s="7"/>
      <c r="N168" s="7"/>
      <c r="O168" s="7"/>
    </row>
    <row r="169" spans="1:15" x14ac:dyDescent="0.25">
      <c r="A169" s="1">
        <v>166</v>
      </c>
      <c r="B169" s="1"/>
      <c r="C169" s="8" t="s">
        <v>6</v>
      </c>
      <c r="D169" s="1"/>
      <c r="E169" s="7"/>
      <c r="F169" s="1"/>
      <c r="G169" s="1"/>
      <c r="H169" s="7"/>
      <c r="I169" s="7"/>
      <c r="J169" s="7"/>
      <c r="K169" s="7"/>
      <c r="L169" s="7"/>
      <c r="M169" s="7"/>
      <c r="N169" s="7"/>
      <c r="O169" s="7"/>
    </row>
    <row r="170" spans="1:15" x14ac:dyDescent="0.25">
      <c r="A170" s="1">
        <v>167</v>
      </c>
      <c r="B170" s="1"/>
      <c r="C170" s="8" t="s">
        <v>6</v>
      </c>
      <c r="D170" s="1"/>
      <c r="E170" s="7"/>
      <c r="F170" s="1"/>
      <c r="G170" s="1"/>
      <c r="H170" s="7"/>
      <c r="I170" s="7"/>
      <c r="J170" s="7"/>
      <c r="K170" s="7"/>
      <c r="L170" s="7"/>
      <c r="M170" s="7"/>
      <c r="N170" s="7"/>
      <c r="O170" s="7"/>
    </row>
    <row r="171" spans="1:15" x14ac:dyDescent="0.25">
      <c r="A171" s="1">
        <v>168</v>
      </c>
      <c r="B171" s="1"/>
      <c r="C171" s="8" t="s">
        <v>6</v>
      </c>
      <c r="D171" s="1"/>
      <c r="E171" s="7"/>
      <c r="F171" s="1"/>
      <c r="G171" s="1"/>
      <c r="H171" s="7"/>
      <c r="I171" s="7"/>
      <c r="J171" s="7"/>
      <c r="K171" s="7"/>
      <c r="L171" s="7"/>
      <c r="M171" s="7"/>
      <c r="N171" s="7"/>
      <c r="O171" s="7"/>
    </row>
    <row r="172" spans="1:15" x14ac:dyDescent="0.25">
      <c r="A172" s="1">
        <v>169</v>
      </c>
      <c r="B172" s="1"/>
      <c r="C172" s="8" t="s">
        <v>6</v>
      </c>
      <c r="D172" s="1"/>
      <c r="E172" s="7"/>
      <c r="F172" s="1"/>
      <c r="G172" s="1"/>
      <c r="H172" s="7"/>
      <c r="I172" s="7"/>
      <c r="J172" s="7"/>
      <c r="K172" s="7"/>
      <c r="L172" s="7"/>
      <c r="M172" s="7"/>
      <c r="N172" s="7"/>
      <c r="O172" s="7"/>
    </row>
    <row r="173" spans="1:15" x14ac:dyDescent="0.25">
      <c r="A173" s="1">
        <v>170</v>
      </c>
      <c r="B173" s="1"/>
      <c r="C173" s="8" t="s">
        <v>6</v>
      </c>
      <c r="D173" s="1"/>
      <c r="E173" s="7"/>
      <c r="F173" s="1"/>
      <c r="G173" s="1"/>
      <c r="H173" s="7"/>
      <c r="I173" s="7"/>
      <c r="J173" s="7"/>
      <c r="K173" s="7"/>
      <c r="L173" s="7"/>
      <c r="M173" s="7"/>
      <c r="N173" s="7"/>
      <c r="O173" s="7"/>
    </row>
    <row r="174" spans="1:15" x14ac:dyDescent="0.25">
      <c r="A174" s="1">
        <v>171</v>
      </c>
      <c r="B174" s="1"/>
      <c r="C174" s="8" t="s">
        <v>6</v>
      </c>
      <c r="D174" s="1"/>
      <c r="E174" s="7"/>
      <c r="F174" s="1"/>
      <c r="G174" s="1"/>
      <c r="H174" s="7"/>
      <c r="I174" s="7"/>
      <c r="J174" s="7"/>
      <c r="K174" s="7"/>
      <c r="L174" s="7"/>
      <c r="M174" s="7"/>
      <c r="N174" s="7"/>
      <c r="O174" s="7"/>
    </row>
    <row r="175" spans="1:15" x14ac:dyDescent="0.25">
      <c r="A175" s="1">
        <v>172</v>
      </c>
      <c r="B175" s="1"/>
      <c r="C175" s="8" t="s">
        <v>6</v>
      </c>
      <c r="D175" s="1"/>
      <c r="E175" s="7"/>
      <c r="F175" s="1"/>
      <c r="G175" s="1"/>
      <c r="H175" s="7"/>
      <c r="I175" s="7"/>
      <c r="J175" s="7"/>
      <c r="K175" s="7"/>
      <c r="L175" s="7"/>
      <c r="M175" s="7"/>
      <c r="N175" s="7"/>
      <c r="O175" s="7"/>
    </row>
    <row r="176" spans="1:15" x14ac:dyDescent="0.25">
      <c r="A176" s="1">
        <v>173</v>
      </c>
      <c r="B176" s="1"/>
      <c r="C176" s="8" t="s">
        <v>6</v>
      </c>
      <c r="D176" s="1"/>
      <c r="E176" s="7"/>
      <c r="F176" s="1"/>
      <c r="G176" s="1"/>
      <c r="H176" s="7"/>
      <c r="I176" s="7"/>
      <c r="J176" s="7"/>
      <c r="K176" s="7"/>
      <c r="L176" s="7"/>
      <c r="M176" s="7"/>
      <c r="N176" s="7"/>
      <c r="O176" s="7"/>
    </row>
    <row r="177" spans="1:15" x14ac:dyDescent="0.25">
      <c r="A177" s="1">
        <v>174</v>
      </c>
      <c r="B177" s="1"/>
      <c r="C177" s="8" t="s">
        <v>6</v>
      </c>
      <c r="D177" s="1"/>
      <c r="E177" s="7"/>
      <c r="F177" s="1"/>
      <c r="G177" s="1"/>
      <c r="H177" s="7"/>
      <c r="I177" s="7"/>
      <c r="J177" s="7"/>
      <c r="K177" s="7"/>
      <c r="L177" s="7"/>
      <c r="M177" s="7"/>
      <c r="N177" s="7"/>
      <c r="O177" s="7"/>
    </row>
    <row r="178" spans="1:15" x14ac:dyDescent="0.25">
      <c r="A178" s="1">
        <v>175</v>
      </c>
      <c r="B178" s="1"/>
      <c r="C178" s="8" t="s">
        <v>6</v>
      </c>
      <c r="D178" s="1"/>
      <c r="E178" s="7"/>
      <c r="F178" s="1"/>
      <c r="G178" s="1"/>
      <c r="H178" s="7"/>
      <c r="I178" s="7"/>
      <c r="J178" s="7"/>
      <c r="K178" s="7"/>
      <c r="L178" s="7"/>
      <c r="M178" s="7"/>
      <c r="N178" s="7"/>
      <c r="O178" s="7"/>
    </row>
    <row r="179" spans="1:15" x14ac:dyDescent="0.25">
      <c r="A179" s="1">
        <v>176</v>
      </c>
      <c r="B179" s="1"/>
      <c r="C179" s="8" t="s">
        <v>6</v>
      </c>
      <c r="D179" s="1"/>
      <c r="E179" s="7"/>
      <c r="F179" s="1"/>
      <c r="G179" s="1"/>
      <c r="H179" s="7"/>
      <c r="I179" s="7"/>
      <c r="J179" s="7"/>
      <c r="K179" s="7"/>
      <c r="L179" s="7"/>
      <c r="M179" s="7"/>
      <c r="N179" s="7"/>
      <c r="O179" s="7"/>
    </row>
    <row r="180" spans="1:15" x14ac:dyDescent="0.25">
      <c r="A180" s="1">
        <v>177</v>
      </c>
      <c r="B180" s="1"/>
      <c r="C180" s="8" t="s">
        <v>6</v>
      </c>
      <c r="D180" s="1"/>
      <c r="E180" s="7"/>
      <c r="F180" s="1"/>
      <c r="G180" s="1"/>
      <c r="H180" s="7"/>
      <c r="I180" s="7"/>
      <c r="J180" s="7"/>
      <c r="K180" s="7"/>
      <c r="L180" s="7"/>
      <c r="M180" s="7"/>
      <c r="N180" s="7"/>
      <c r="O180" s="7"/>
    </row>
    <row r="181" spans="1:15" x14ac:dyDescent="0.25">
      <c r="A181" s="1">
        <v>178</v>
      </c>
      <c r="B181" s="1"/>
      <c r="C181" s="8" t="s">
        <v>6</v>
      </c>
      <c r="D181" s="1"/>
      <c r="E181" s="7"/>
      <c r="F181" s="1"/>
      <c r="G181" s="1"/>
      <c r="H181" s="7"/>
      <c r="I181" s="7"/>
      <c r="J181" s="7"/>
      <c r="K181" s="7"/>
      <c r="L181" s="7"/>
      <c r="M181" s="7"/>
      <c r="N181" s="7"/>
      <c r="O181" s="7"/>
    </row>
    <row r="182" spans="1:15" x14ac:dyDescent="0.25">
      <c r="A182" s="1">
        <v>179</v>
      </c>
      <c r="B182" s="1"/>
      <c r="C182" s="8" t="s">
        <v>6</v>
      </c>
      <c r="D182" s="1"/>
      <c r="E182" s="7"/>
      <c r="F182" s="1"/>
      <c r="G182" s="1"/>
      <c r="H182" s="7"/>
      <c r="I182" s="7"/>
      <c r="J182" s="7"/>
      <c r="K182" s="7"/>
      <c r="L182" s="7"/>
      <c r="M182" s="7"/>
      <c r="N182" s="7"/>
      <c r="O182" s="7"/>
    </row>
    <row r="183" spans="1:15" x14ac:dyDescent="0.25">
      <c r="A183" s="1">
        <v>180</v>
      </c>
      <c r="B183" s="1"/>
      <c r="C183" s="8" t="s">
        <v>6</v>
      </c>
      <c r="D183" s="1"/>
      <c r="E183" s="7"/>
      <c r="F183" s="1"/>
      <c r="G183" s="1"/>
      <c r="H183" s="7"/>
      <c r="I183" s="7"/>
      <c r="J183" s="7"/>
      <c r="K183" s="7"/>
      <c r="L183" s="7"/>
      <c r="M183" s="7"/>
      <c r="N183" s="7"/>
      <c r="O183" s="7"/>
    </row>
    <row r="184" spans="1:15" x14ac:dyDescent="0.25">
      <c r="A184" s="1">
        <v>181</v>
      </c>
      <c r="B184" s="1"/>
      <c r="C184" s="8" t="s">
        <v>6</v>
      </c>
      <c r="D184" s="1"/>
      <c r="E184" s="7"/>
      <c r="F184" s="1"/>
      <c r="G184" s="1"/>
      <c r="H184" s="7"/>
      <c r="I184" s="7"/>
      <c r="J184" s="7"/>
      <c r="K184" s="7"/>
      <c r="L184" s="7"/>
      <c r="M184" s="7"/>
      <c r="N184" s="7"/>
      <c r="O184" s="7"/>
    </row>
    <row r="185" spans="1:15" x14ac:dyDescent="0.25">
      <c r="A185" s="1">
        <v>182</v>
      </c>
      <c r="B185" s="1"/>
      <c r="C185" s="8" t="s">
        <v>6</v>
      </c>
      <c r="D185" s="1"/>
      <c r="E185" s="7"/>
      <c r="F185" s="1"/>
      <c r="G185" s="1"/>
      <c r="H185" s="7"/>
      <c r="I185" s="7"/>
      <c r="J185" s="7"/>
      <c r="K185" s="7"/>
      <c r="L185" s="7"/>
      <c r="M185" s="7"/>
      <c r="N185" s="7"/>
      <c r="O185" s="7"/>
    </row>
    <row r="186" spans="1:15" x14ac:dyDescent="0.25">
      <c r="A186" s="1">
        <v>183</v>
      </c>
      <c r="B186" s="1"/>
      <c r="C186" s="8" t="s">
        <v>6</v>
      </c>
      <c r="D186" s="1"/>
      <c r="E186" s="7"/>
      <c r="F186" s="1"/>
      <c r="G186" s="1"/>
      <c r="H186" s="7"/>
      <c r="I186" s="7"/>
      <c r="J186" s="7"/>
      <c r="K186" s="7"/>
      <c r="L186" s="7"/>
      <c r="M186" s="7"/>
      <c r="N186" s="7"/>
      <c r="O186" s="7"/>
    </row>
    <row r="187" spans="1:15" x14ac:dyDescent="0.25">
      <c r="A187" s="1">
        <v>184</v>
      </c>
      <c r="B187" s="1"/>
      <c r="C187" s="8" t="s">
        <v>6</v>
      </c>
      <c r="D187" s="1"/>
      <c r="E187" s="7"/>
      <c r="F187" s="1"/>
      <c r="G187" s="1"/>
      <c r="H187" s="7"/>
      <c r="I187" s="7"/>
      <c r="J187" s="7"/>
      <c r="K187" s="7"/>
      <c r="L187" s="7"/>
      <c r="M187" s="7"/>
      <c r="N187" s="7"/>
      <c r="O187" s="7"/>
    </row>
    <row r="188" spans="1:15" x14ac:dyDescent="0.25">
      <c r="A188" s="1">
        <v>185</v>
      </c>
      <c r="B188" s="1"/>
      <c r="C188" s="8" t="s">
        <v>6</v>
      </c>
      <c r="D188" s="1"/>
      <c r="E188" s="7"/>
      <c r="F188" s="1"/>
      <c r="G188" s="1"/>
      <c r="H188" s="7"/>
      <c r="I188" s="7"/>
      <c r="J188" s="7"/>
      <c r="K188" s="7"/>
      <c r="L188" s="7"/>
      <c r="M188" s="7"/>
      <c r="N188" s="7"/>
      <c r="O188" s="7"/>
    </row>
    <row r="189" spans="1:15" x14ac:dyDescent="0.25">
      <c r="A189" s="1">
        <v>186</v>
      </c>
      <c r="B189" s="1"/>
      <c r="C189" s="8" t="s">
        <v>6</v>
      </c>
      <c r="D189" s="1"/>
      <c r="E189" s="7"/>
      <c r="F189" s="1"/>
      <c r="G189" s="1"/>
      <c r="H189" s="7"/>
      <c r="I189" s="7"/>
      <c r="J189" s="7"/>
      <c r="K189" s="7"/>
      <c r="L189" s="7"/>
      <c r="M189" s="7"/>
      <c r="N189" s="7"/>
      <c r="O189" s="7"/>
    </row>
    <row r="190" spans="1:15" x14ac:dyDescent="0.25">
      <c r="A190" s="1">
        <v>187</v>
      </c>
      <c r="B190" s="1"/>
      <c r="C190" s="8" t="s">
        <v>6</v>
      </c>
      <c r="D190" s="1"/>
      <c r="E190" s="7"/>
      <c r="F190" s="1"/>
      <c r="G190" s="1"/>
      <c r="H190" s="7"/>
      <c r="I190" s="7"/>
      <c r="J190" s="7"/>
      <c r="K190" s="7"/>
      <c r="L190" s="7"/>
      <c r="M190" s="7"/>
      <c r="N190" s="7"/>
      <c r="O190" s="7"/>
    </row>
    <row r="191" spans="1:15" x14ac:dyDescent="0.25">
      <c r="A191" s="1">
        <v>188</v>
      </c>
      <c r="B191" s="1"/>
      <c r="C191" s="8" t="s">
        <v>6</v>
      </c>
      <c r="D191" s="1"/>
      <c r="E191" s="7"/>
      <c r="F191" s="1"/>
      <c r="G191" s="1"/>
      <c r="H191" s="7"/>
      <c r="I191" s="7"/>
      <c r="J191" s="7"/>
      <c r="K191" s="7"/>
      <c r="L191" s="7"/>
      <c r="M191" s="7"/>
      <c r="N191" s="7"/>
      <c r="O191" s="7"/>
    </row>
    <row r="192" spans="1:15" x14ac:dyDescent="0.25">
      <c r="A192" s="1">
        <v>189</v>
      </c>
      <c r="B192" s="1"/>
      <c r="C192" s="8" t="s">
        <v>6</v>
      </c>
      <c r="D192" s="1"/>
      <c r="E192" s="7"/>
      <c r="F192" s="1"/>
      <c r="G192" s="1"/>
      <c r="H192" s="7"/>
      <c r="I192" s="7"/>
      <c r="J192" s="7"/>
      <c r="K192" s="7"/>
      <c r="L192" s="7"/>
      <c r="M192" s="7"/>
      <c r="N192" s="7"/>
      <c r="O192" s="7"/>
    </row>
    <row r="193" spans="1:15" x14ac:dyDescent="0.25">
      <c r="A193" s="1">
        <v>190</v>
      </c>
      <c r="B193" s="1"/>
      <c r="C193" s="8" t="s">
        <v>6</v>
      </c>
      <c r="D193" s="1"/>
      <c r="E193" s="7"/>
      <c r="F193" s="1"/>
      <c r="G193" s="1"/>
      <c r="H193" s="7"/>
      <c r="I193" s="7"/>
      <c r="J193" s="7"/>
      <c r="K193" s="7"/>
      <c r="L193" s="7"/>
      <c r="M193" s="7"/>
      <c r="N193" s="7"/>
      <c r="O193" s="7"/>
    </row>
    <row r="194" spans="1:15" x14ac:dyDescent="0.25">
      <c r="A194" s="1">
        <v>191</v>
      </c>
      <c r="B194" s="1"/>
      <c r="C194" s="8" t="s">
        <v>6</v>
      </c>
      <c r="D194" s="1"/>
      <c r="E194" s="7"/>
      <c r="F194" s="1"/>
      <c r="G194" s="1"/>
      <c r="H194" s="7"/>
      <c r="I194" s="7"/>
      <c r="J194" s="7"/>
      <c r="K194" s="7"/>
      <c r="L194" s="7"/>
      <c r="M194" s="7"/>
      <c r="N194" s="7"/>
      <c r="O194" s="7"/>
    </row>
    <row r="195" spans="1:15" x14ac:dyDescent="0.25">
      <c r="A195" s="1">
        <v>192</v>
      </c>
      <c r="B195" s="1"/>
      <c r="C195" s="8" t="s">
        <v>6</v>
      </c>
      <c r="D195" s="1"/>
      <c r="E195" s="7"/>
      <c r="F195" s="1"/>
      <c r="G195" s="1"/>
      <c r="H195" s="7"/>
      <c r="I195" s="7"/>
      <c r="J195" s="7"/>
      <c r="K195" s="7"/>
      <c r="L195" s="7"/>
      <c r="M195" s="7"/>
      <c r="N195" s="7"/>
      <c r="O195" s="7"/>
    </row>
    <row r="196" spans="1:15" x14ac:dyDescent="0.25">
      <c r="A196" s="1">
        <v>193</v>
      </c>
      <c r="B196" s="1"/>
      <c r="C196" s="8" t="s">
        <v>6</v>
      </c>
      <c r="D196" s="1"/>
      <c r="E196" s="7"/>
      <c r="F196" s="1"/>
      <c r="G196" s="1"/>
      <c r="H196" s="7"/>
      <c r="I196" s="7"/>
      <c r="J196" s="7"/>
      <c r="K196" s="7"/>
      <c r="L196" s="7"/>
      <c r="M196" s="7"/>
      <c r="N196" s="7"/>
      <c r="O196" s="7"/>
    </row>
    <row r="197" spans="1:15" x14ac:dyDescent="0.25">
      <c r="A197" s="1">
        <v>194</v>
      </c>
      <c r="B197" s="1"/>
      <c r="C197" s="8" t="s">
        <v>6</v>
      </c>
      <c r="D197" s="1"/>
      <c r="E197" s="7"/>
      <c r="F197" s="1"/>
      <c r="G197" s="1"/>
      <c r="H197" s="7"/>
      <c r="I197" s="7"/>
      <c r="J197" s="7"/>
      <c r="K197" s="7"/>
      <c r="L197" s="7"/>
      <c r="M197" s="7"/>
      <c r="N197" s="7"/>
      <c r="O197" s="7"/>
    </row>
    <row r="198" spans="1:15" x14ac:dyDescent="0.25">
      <c r="A198" s="1">
        <v>195</v>
      </c>
      <c r="B198" s="1"/>
      <c r="C198" s="8" t="s">
        <v>6</v>
      </c>
      <c r="D198" s="1"/>
      <c r="E198" s="7"/>
      <c r="F198" s="1"/>
      <c r="G198" s="1"/>
      <c r="H198" s="7"/>
      <c r="I198" s="7"/>
      <c r="J198" s="7"/>
      <c r="K198" s="7"/>
      <c r="L198" s="7"/>
      <c r="M198" s="7"/>
      <c r="N198" s="7"/>
      <c r="O198" s="7"/>
    </row>
    <row r="199" spans="1:15" x14ac:dyDescent="0.25">
      <c r="A199" s="1">
        <v>196</v>
      </c>
      <c r="B199" s="1"/>
      <c r="C199" s="8" t="s">
        <v>6</v>
      </c>
      <c r="D199" s="1"/>
      <c r="E199" s="7"/>
      <c r="F199" s="1"/>
      <c r="G199" s="1"/>
      <c r="H199" s="7"/>
      <c r="I199" s="7"/>
      <c r="J199" s="7"/>
      <c r="K199" s="7"/>
      <c r="L199" s="7"/>
      <c r="M199" s="7"/>
      <c r="N199" s="7"/>
      <c r="O199" s="7"/>
    </row>
    <row r="200" spans="1:15" x14ac:dyDescent="0.25">
      <c r="A200" s="1">
        <v>197</v>
      </c>
      <c r="B200" s="1"/>
      <c r="C200" s="8" t="s">
        <v>6</v>
      </c>
      <c r="D200" s="1"/>
      <c r="E200" s="7"/>
      <c r="F200" s="1"/>
      <c r="G200" s="1"/>
      <c r="H200" s="7"/>
      <c r="I200" s="7"/>
      <c r="J200" s="7"/>
      <c r="K200" s="7"/>
      <c r="L200" s="7"/>
      <c r="M200" s="7"/>
      <c r="N200" s="7"/>
      <c r="O200" s="7"/>
    </row>
    <row r="201" spans="1:15" x14ac:dyDescent="0.25">
      <c r="A201" s="1">
        <v>198</v>
      </c>
      <c r="B201" s="1"/>
      <c r="C201" s="8" t="s">
        <v>6</v>
      </c>
      <c r="D201" s="1"/>
      <c r="E201" s="7"/>
      <c r="F201" s="1"/>
      <c r="G201" s="1"/>
      <c r="H201" s="7"/>
      <c r="I201" s="7"/>
      <c r="J201" s="7"/>
      <c r="K201" s="7"/>
      <c r="L201" s="7"/>
      <c r="M201" s="7"/>
      <c r="N201" s="7"/>
      <c r="O201" s="7"/>
    </row>
    <row r="202" spans="1:15" x14ac:dyDescent="0.25">
      <c r="A202" s="1">
        <v>199</v>
      </c>
      <c r="B202" s="1"/>
      <c r="C202" s="8" t="s">
        <v>6</v>
      </c>
      <c r="D202" s="1"/>
      <c r="E202" s="7"/>
      <c r="F202" s="1"/>
      <c r="G202" s="1"/>
      <c r="H202" s="7"/>
      <c r="I202" s="7"/>
      <c r="J202" s="7"/>
      <c r="K202" s="7"/>
      <c r="L202" s="7"/>
      <c r="M202" s="7"/>
      <c r="N202" s="7"/>
      <c r="O202" s="7"/>
    </row>
    <row r="203" spans="1:15" x14ac:dyDescent="0.25">
      <c r="A203" s="1">
        <v>200</v>
      </c>
      <c r="B203" s="1"/>
      <c r="C203" s="8" t="s">
        <v>6</v>
      </c>
      <c r="D203" s="1"/>
      <c r="E203" s="7"/>
      <c r="F203" s="1"/>
      <c r="G203" s="1"/>
      <c r="H203" s="7"/>
      <c r="I203" s="7"/>
      <c r="J203" s="7"/>
      <c r="K203" s="7"/>
      <c r="L203" s="7"/>
      <c r="M203" s="7"/>
      <c r="N203" s="7"/>
      <c r="O203" s="7"/>
    </row>
    <row r="204" spans="1:15" x14ac:dyDescent="0.25">
      <c r="A204" s="1">
        <v>201</v>
      </c>
      <c r="B204" s="1"/>
      <c r="C204" s="8" t="s">
        <v>6</v>
      </c>
      <c r="D204" s="1"/>
      <c r="E204" s="7"/>
      <c r="F204" s="1"/>
      <c r="G204" s="1"/>
      <c r="H204" s="7"/>
      <c r="I204" s="7"/>
      <c r="J204" s="7"/>
      <c r="K204" s="7"/>
      <c r="L204" s="7"/>
      <c r="M204" s="7"/>
      <c r="N204" s="7"/>
      <c r="O204" s="7"/>
    </row>
    <row r="205" spans="1:15" x14ac:dyDescent="0.25">
      <c r="A205" s="1">
        <v>202</v>
      </c>
      <c r="B205" s="1"/>
      <c r="C205" s="8" t="s">
        <v>6</v>
      </c>
      <c r="D205" s="1"/>
      <c r="E205" s="7"/>
      <c r="F205" s="1"/>
      <c r="G205" s="1"/>
      <c r="H205" s="7"/>
      <c r="I205" s="7"/>
      <c r="J205" s="7"/>
      <c r="K205" s="7"/>
      <c r="L205" s="7"/>
      <c r="M205" s="7"/>
      <c r="N205" s="7"/>
      <c r="O205" s="7"/>
    </row>
    <row r="206" spans="1:15" x14ac:dyDescent="0.25">
      <c r="A206" s="1">
        <v>203</v>
      </c>
      <c r="B206" s="1"/>
      <c r="C206" s="8" t="s">
        <v>6</v>
      </c>
      <c r="D206" s="1"/>
      <c r="E206" s="7"/>
      <c r="F206" s="1"/>
      <c r="G206" s="1"/>
      <c r="H206" s="7"/>
      <c r="I206" s="7"/>
      <c r="J206" s="7"/>
      <c r="K206" s="7"/>
      <c r="L206" s="7"/>
      <c r="M206" s="7"/>
      <c r="N206" s="7"/>
      <c r="O206" s="7"/>
    </row>
    <row r="207" spans="1:15" x14ac:dyDescent="0.25">
      <c r="A207" s="1">
        <v>204</v>
      </c>
      <c r="B207" s="1"/>
      <c r="C207" s="8" t="s">
        <v>6</v>
      </c>
      <c r="D207" s="1"/>
      <c r="E207" s="7"/>
      <c r="F207" s="1"/>
      <c r="G207" s="1"/>
      <c r="H207" s="7"/>
      <c r="I207" s="7"/>
      <c r="J207" s="7"/>
      <c r="K207" s="7"/>
      <c r="L207" s="7"/>
      <c r="M207" s="7"/>
      <c r="N207" s="7"/>
      <c r="O207" s="7"/>
    </row>
    <row r="208" spans="1:15" x14ac:dyDescent="0.25">
      <c r="A208" s="1">
        <v>205</v>
      </c>
      <c r="B208" s="1"/>
      <c r="C208" s="8" t="s">
        <v>6</v>
      </c>
      <c r="D208" s="1"/>
      <c r="E208" s="7"/>
      <c r="F208" s="1"/>
      <c r="G208" s="1"/>
      <c r="H208" s="7"/>
      <c r="I208" s="7"/>
      <c r="J208" s="7"/>
      <c r="K208" s="7"/>
      <c r="L208" s="7"/>
      <c r="M208" s="7"/>
      <c r="N208" s="7"/>
      <c r="O208" s="7"/>
    </row>
    <row r="209" spans="1:15" x14ac:dyDescent="0.25">
      <c r="A209" s="1">
        <v>206</v>
      </c>
      <c r="B209" s="1"/>
      <c r="C209" s="8" t="s">
        <v>6</v>
      </c>
      <c r="D209" s="1"/>
      <c r="E209" s="7"/>
      <c r="F209" s="1"/>
      <c r="G209" s="1"/>
      <c r="H209" s="7"/>
      <c r="I209" s="7"/>
      <c r="J209" s="7"/>
      <c r="K209" s="7"/>
      <c r="L209" s="7"/>
      <c r="M209" s="7"/>
      <c r="N209" s="7"/>
      <c r="O209" s="7"/>
    </row>
    <row r="210" spans="1:15" x14ac:dyDescent="0.25">
      <c r="A210" s="1">
        <v>207</v>
      </c>
      <c r="B210" s="1"/>
      <c r="C210" s="8" t="s">
        <v>6</v>
      </c>
      <c r="D210" s="1"/>
      <c r="E210" s="7"/>
      <c r="F210" s="1"/>
      <c r="G210" s="1"/>
      <c r="H210" s="7"/>
      <c r="I210" s="7"/>
      <c r="J210" s="7"/>
      <c r="K210" s="7"/>
      <c r="L210" s="7"/>
      <c r="M210" s="7"/>
      <c r="N210" s="7"/>
      <c r="O210" s="7"/>
    </row>
    <row r="211" spans="1:15" x14ac:dyDescent="0.25">
      <c r="A211" s="1">
        <v>208</v>
      </c>
      <c r="B211" s="1"/>
      <c r="C211" s="8" t="s">
        <v>6</v>
      </c>
      <c r="D211" s="1"/>
      <c r="E211" s="7"/>
      <c r="F211" s="1"/>
      <c r="G211" s="1"/>
      <c r="H211" s="7"/>
      <c r="I211" s="7"/>
      <c r="J211" s="7"/>
      <c r="K211" s="7"/>
      <c r="L211" s="7"/>
      <c r="M211" s="7"/>
      <c r="N211" s="7"/>
      <c r="O211" s="7"/>
    </row>
    <row r="212" spans="1:15" x14ac:dyDescent="0.25">
      <c r="A212" s="1">
        <v>209</v>
      </c>
      <c r="B212" s="1"/>
      <c r="C212" s="8" t="s">
        <v>6</v>
      </c>
      <c r="D212" s="1"/>
      <c r="E212" s="7"/>
      <c r="F212" s="1"/>
      <c r="G212" s="1"/>
      <c r="H212" s="7"/>
      <c r="I212" s="7"/>
      <c r="J212" s="7"/>
      <c r="K212" s="7"/>
      <c r="L212" s="7"/>
      <c r="M212" s="7"/>
      <c r="N212" s="7"/>
      <c r="O212" s="7"/>
    </row>
    <row r="213" spans="1:15" x14ac:dyDescent="0.25">
      <c r="A213" s="1">
        <v>210</v>
      </c>
      <c r="B213" s="1"/>
      <c r="C213" s="8" t="s">
        <v>6</v>
      </c>
      <c r="D213" s="1"/>
      <c r="E213" s="7"/>
      <c r="F213" s="1"/>
      <c r="G213" s="1"/>
      <c r="H213" s="7"/>
      <c r="I213" s="7"/>
      <c r="J213" s="7"/>
      <c r="K213" s="7"/>
      <c r="L213" s="7"/>
      <c r="M213" s="7"/>
      <c r="N213" s="7"/>
      <c r="O213" s="7"/>
    </row>
    <row r="214" spans="1:15" x14ac:dyDescent="0.25">
      <c r="A214" s="1">
        <v>211</v>
      </c>
      <c r="B214" s="1"/>
      <c r="C214" s="8" t="s">
        <v>6</v>
      </c>
      <c r="D214" s="1"/>
      <c r="E214" s="7"/>
      <c r="F214" s="1"/>
      <c r="G214" s="1"/>
      <c r="H214" s="7"/>
      <c r="I214" s="7"/>
      <c r="J214" s="7"/>
      <c r="K214" s="7"/>
      <c r="L214" s="7"/>
      <c r="M214" s="7"/>
      <c r="N214" s="7"/>
      <c r="O214" s="7"/>
    </row>
    <row r="215" spans="1:15" x14ac:dyDescent="0.25">
      <c r="A215" s="1">
        <v>212</v>
      </c>
      <c r="B215" s="1"/>
      <c r="C215" s="8" t="s">
        <v>6</v>
      </c>
      <c r="D215" s="1"/>
      <c r="E215" s="7"/>
      <c r="F215" s="1"/>
      <c r="G215" s="1"/>
      <c r="H215" s="7"/>
      <c r="I215" s="7"/>
      <c r="J215" s="7"/>
      <c r="K215" s="7"/>
      <c r="L215" s="7"/>
      <c r="M215" s="7"/>
      <c r="N215" s="7"/>
      <c r="O215" s="7"/>
    </row>
    <row r="216" spans="1:15" x14ac:dyDescent="0.25">
      <c r="A216" s="1">
        <v>213</v>
      </c>
      <c r="B216" s="1"/>
      <c r="C216" s="8" t="s">
        <v>6</v>
      </c>
      <c r="D216" s="1"/>
      <c r="E216" s="7"/>
      <c r="F216" s="1"/>
      <c r="G216" s="1"/>
      <c r="H216" s="7"/>
      <c r="I216" s="7"/>
      <c r="J216" s="7"/>
      <c r="K216" s="7"/>
      <c r="L216" s="7"/>
      <c r="M216" s="7"/>
      <c r="N216" s="7"/>
      <c r="O216" s="7"/>
    </row>
    <row r="217" spans="1:15" x14ac:dyDescent="0.25">
      <c r="A217" s="1">
        <v>214</v>
      </c>
      <c r="B217" s="1"/>
      <c r="C217" s="8" t="s">
        <v>6</v>
      </c>
      <c r="D217" s="1"/>
      <c r="E217" s="7"/>
      <c r="F217" s="1"/>
      <c r="G217" s="1"/>
      <c r="H217" s="7"/>
      <c r="I217" s="7"/>
      <c r="J217" s="7"/>
      <c r="K217" s="7"/>
      <c r="L217" s="7"/>
      <c r="M217" s="7"/>
      <c r="N217" s="7"/>
      <c r="O217" s="7"/>
    </row>
    <row r="218" spans="1:15" x14ac:dyDescent="0.25">
      <c r="A218" s="1">
        <v>215</v>
      </c>
      <c r="B218" s="1"/>
      <c r="C218" s="8" t="s">
        <v>6</v>
      </c>
      <c r="D218" s="1"/>
      <c r="E218" s="7"/>
      <c r="F218" s="1"/>
      <c r="G218" s="1"/>
      <c r="H218" s="7"/>
      <c r="I218" s="7"/>
      <c r="J218" s="7"/>
      <c r="K218" s="7"/>
      <c r="L218" s="7"/>
      <c r="M218" s="7"/>
      <c r="N218" s="7"/>
      <c r="O218" s="7"/>
    </row>
    <row r="219" spans="1:15" x14ac:dyDescent="0.25">
      <c r="A219" s="1">
        <v>216</v>
      </c>
      <c r="B219" s="1"/>
      <c r="C219" s="8" t="s">
        <v>6</v>
      </c>
      <c r="D219" s="1"/>
      <c r="E219" s="7"/>
      <c r="F219" s="1"/>
      <c r="G219" s="1"/>
      <c r="H219" s="7"/>
      <c r="I219" s="7"/>
      <c r="J219" s="7"/>
      <c r="K219" s="7"/>
      <c r="L219" s="7"/>
      <c r="M219" s="7"/>
      <c r="N219" s="7"/>
      <c r="O219" s="7"/>
    </row>
    <row r="220" spans="1:15" x14ac:dyDescent="0.25">
      <c r="A220" s="1">
        <v>217</v>
      </c>
      <c r="B220" s="1"/>
      <c r="C220" s="8" t="s">
        <v>6</v>
      </c>
      <c r="D220" s="1"/>
      <c r="E220" s="7"/>
      <c r="F220" s="1"/>
      <c r="G220" s="1"/>
      <c r="H220" s="7"/>
      <c r="I220" s="7"/>
      <c r="J220" s="7"/>
      <c r="K220" s="7"/>
      <c r="L220" s="7"/>
      <c r="M220" s="7"/>
      <c r="N220" s="7"/>
      <c r="O220" s="7"/>
    </row>
    <row r="221" spans="1:15" x14ac:dyDescent="0.25">
      <c r="A221" s="1">
        <v>218</v>
      </c>
      <c r="B221" s="1"/>
      <c r="C221" s="8" t="s">
        <v>6</v>
      </c>
      <c r="D221" s="1"/>
      <c r="E221" s="7"/>
      <c r="F221" s="1"/>
      <c r="G221" s="1"/>
      <c r="H221" s="7"/>
      <c r="I221" s="7"/>
      <c r="J221" s="7"/>
      <c r="K221" s="7"/>
      <c r="L221" s="7"/>
      <c r="M221" s="7"/>
      <c r="N221" s="7"/>
      <c r="O221" s="7"/>
    </row>
    <row r="222" spans="1:15" x14ac:dyDescent="0.25">
      <c r="A222" s="1">
        <v>219</v>
      </c>
      <c r="B222" s="1"/>
      <c r="C222" s="8" t="s">
        <v>6</v>
      </c>
      <c r="D222" s="1"/>
      <c r="E222" s="7"/>
      <c r="F222" s="1"/>
      <c r="G222" s="1"/>
      <c r="H222" s="7"/>
      <c r="I222" s="7"/>
      <c r="J222" s="7"/>
      <c r="K222" s="7"/>
      <c r="L222" s="7"/>
      <c r="M222" s="7"/>
      <c r="N222" s="7"/>
      <c r="O222" s="7"/>
    </row>
    <row r="223" spans="1:15" x14ac:dyDescent="0.25">
      <c r="A223" s="1">
        <v>220</v>
      </c>
      <c r="B223" s="1"/>
      <c r="C223" s="8" t="s">
        <v>6</v>
      </c>
      <c r="D223" s="1"/>
      <c r="E223" s="7"/>
      <c r="F223" s="1"/>
      <c r="G223" s="1"/>
      <c r="H223" s="7"/>
      <c r="I223" s="7"/>
      <c r="J223" s="7"/>
      <c r="K223" s="7"/>
      <c r="L223" s="7"/>
      <c r="M223" s="7"/>
      <c r="N223" s="7"/>
      <c r="O223" s="7"/>
    </row>
    <row r="224" spans="1:15" x14ac:dyDescent="0.25">
      <c r="A224" s="1">
        <v>221</v>
      </c>
      <c r="B224" s="1"/>
      <c r="C224" s="8" t="s">
        <v>6</v>
      </c>
      <c r="D224" s="1"/>
      <c r="E224" s="7"/>
      <c r="F224" s="1"/>
      <c r="G224" s="1"/>
      <c r="H224" s="7"/>
      <c r="I224" s="7"/>
      <c r="J224" s="7"/>
      <c r="K224" s="7"/>
      <c r="L224" s="7"/>
      <c r="M224" s="7"/>
      <c r="N224" s="7"/>
      <c r="O224" s="7"/>
    </row>
    <row r="225" spans="1:15" x14ac:dyDescent="0.25">
      <c r="A225" s="1">
        <v>222</v>
      </c>
      <c r="B225" s="1"/>
      <c r="C225" s="8" t="s">
        <v>6</v>
      </c>
      <c r="D225" s="1"/>
      <c r="E225" s="7"/>
      <c r="F225" s="1"/>
      <c r="G225" s="1"/>
      <c r="H225" s="7"/>
      <c r="I225" s="7"/>
      <c r="J225" s="7"/>
      <c r="K225" s="7"/>
      <c r="L225" s="7"/>
      <c r="M225" s="7"/>
      <c r="N225" s="7"/>
      <c r="O225" s="7"/>
    </row>
    <row r="226" spans="1:15" x14ac:dyDescent="0.25">
      <c r="A226" s="1">
        <v>223</v>
      </c>
      <c r="B226" s="1"/>
      <c r="C226" s="8" t="s">
        <v>6</v>
      </c>
      <c r="D226" s="1"/>
      <c r="E226" s="7"/>
      <c r="F226" s="1"/>
      <c r="G226" s="1"/>
      <c r="H226" s="7"/>
      <c r="I226" s="7"/>
      <c r="J226" s="7"/>
      <c r="K226" s="7"/>
      <c r="L226" s="7"/>
      <c r="M226" s="7"/>
      <c r="N226" s="7"/>
      <c r="O226" s="7"/>
    </row>
    <row r="227" spans="1:15" x14ac:dyDescent="0.25">
      <c r="A227" s="1">
        <v>224</v>
      </c>
      <c r="B227" s="1"/>
      <c r="C227" s="8" t="s">
        <v>6</v>
      </c>
      <c r="D227" s="1"/>
      <c r="E227" s="7"/>
      <c r="F227" s="1"/>
      <c r="G227" s="1"/>
      <c r="H227" s="7"/>
      <c r="I227" s="7"/>
      <c r="J227" s="7"/>
      <c r="K227" s="7"/>
      <c r="L227" s="7"/>
      <c r="M227" s="7"/>
      <c r="N227" s="7"/>
      <c r="O227" s="7"/>
    </row>
    <row r="228" spans="1:15" x14ac:dyDescent="0.25">
      <c r="A228" s="1">
        <v>225</v>
      </c>
      <c r="B228" s="1"/>
      <c r="C228" s="8" t="s">
        <v>6</v>
      </c>
      <c r="D228" s="1"/>
      <c r="E228" s="7"/>
      <c r="F228" s="1"/>
      <c r="G228" s="1"/>
      <c r="H228" s="7"/>
      <c r="I228" s="7"/>
      <c r="J228" s="7"/>
      <c r="K228" s="7"/>
      <c r="L228" s="7"/>
      <c r="M228" s="7"/>
      <c r="N228" s="7"/>
      <c r="O228" s="7"/>
    </row>
    <row r="229" spans="1:15" x14ac:dyDescent="0.25">
      <c r="A229" s="1">
        <v>226</v>
      </c>
      <c r="B229" s="1"/>
      <c r="C229" s="8" t="s">
        <v>6</v>
      </c>
      <c r="D229" s="1"/>
      <c r="E229" s="7"/>
      <c r="F229" s="1"/>
      <c r="G229" s="1"/>
      <c r="H229" s="7"/>
      <c r="I229" s="7"/>
      <c r="J229" s="7"/>
      <c r="K229" s="7"/>
      <c r="L229" s="7"/>
      <c r="M229" s="7"/>
      <c r="N229" s="7"/>
      <c r="O229" s="7"/>
    </row>
    <row r="230" spans="1:15" x14ac:dyDescent="0.25">
      <c r="A230" s="1">
        <v>227</v>
      </c>
      <c r="B230" s="1"/>
      <c r="C230" s="8" t="s">
        <v>6</v>
      </c>
      <c r="D230" s="1"/>
      <c r="E230" s="7"/>
      <c r="F230" s="1"/>
      <c r="G230" s="1"/>
      <c r="H230" s="7"/>
      <c r="I230" s="7"/>
      <c r="J230" s="7"/>
      <c r="K230" s="7"/>
      <c r="L230" s="7"/>
      <c r="M230" s="7"/>
      <c r="N230" s="7"/>
      <c r="O230" s="7"/>
    </row>
    <row r="231" spans="1:15" x14ac:dyDescent="0.25">
      <c r="A231" s="1">
        <v>228</v>
      </c>
      <c r="B231" s="1"/>
      <c r="C231" s="8" t="s">
        <v>6</v>
      </c>
      <c r="D231" s="1"/>
      <c r="E231" s="7"/>
      <c r="F231" s="1"/>
      <c r="G231" s="1"/>
      <c r="H231" s="7"/>
      <c r="I231" s="7"/>
      <c r="J231" s="7"/>
      <c r="K231" s="7"/>
      <c r="L231" s="7"/>
      <c r="M231" s="7"/>
      <c r="N231" s="7"/>
      <c r="O231" s="7"/>
    </row>
    <row r="232" spans="1:15" x14ac:dyDescent="0.25">
      <c r="A232" s="1">
        <v>229</v>
      </c>
      <c r="B232" s="1"/>
      <c r="C232" s="8" t="s">
        <v>6</v>
      </c>
      <c r="D232" s="1"/>
      <c r="E232" s="7"/>
      <c r="F232" s="1"/>
      <c r="G232" s="1"/>
      <c r="H232" s="7"/>
      <c r="I232" s="7"/>
      <c r="J232" s="7"/>
      <c r="K232" s="7"/>
      <c r="L232" s="7"/>
      <c r="M232" s="7"/>
      <c r="N232" s="7"/>
      <c r="O232" s="7"/>
    </row>
    <row r="233" spans="1:15" x14ac:dyDescent="0.25">
      <c r="A233" s="1">
        <v>230</v>
      </c>
      <c r="B233" s="1"/>
      <c r="C233" s="8" t="s">
        <v>6</v>
      </c>
      <c r="D233" s="1"/>
      <c r="E233" s="7"/>
      <c r="F233" s="1"/>
      <c r="G233" s="1"/>
      <c r="H233" s="7"/>
      <c r="I233" s="7"/>
      <c r="J233" s="7"/>
      <c r="K233" s="7"/>
      <c r="L233" s="7"/>
      <c r="M233" s="7"/>
      <c r="N233" s="7"/>
      <c r="O233" s="7"/>
    </row>
    <row r="234" spans="1:15" x14ac:dyDescent="0.25">
      <c r="A234" s="1">
        <v>231</v>
      </c>
      <c r="B234" s="1"/>
      <c r="C234" s="8" t="s">
        <v>6</v>
      </c>
      <c r="D234" s="1"/>
      <c r="E234" s="7"/>
      <c r="F234" s="1"/>
      <c r="G234" s="1"/>
      <c r="H234" s="7"/>
      <c r="I234" s="7"/>
      <c r="J234" s="7"/>
      <c r="K234" s="7"/>
      <c r="L234" s="7"/>
      <c r="M234" s="7"/>
      <c r="N234" s="7"/>
      <c r="O234" s="7"/>
    </row>
    <row r="235" spans="1:15" x14ac:dyDescent="0.25">
      <c r="A235" s="1">
        <v>232</v>
      </c>
      <c r="B235" s="1"/>
      <c r="C235" s="8" t="s">
        <v>6</v>
      </c>
      <c r="D235" s="1"/>
      <c r="E235" s="7"/>
      <c r="F235" s="1"/>
      <c r="G235" s="1"/>
      <c r="H235" s="7"/>
      <c r="I235" s="7"/>
      <c r="J235" s="7"/>
      <c r="K235" s="7"/>
      <c r="L235" s="7"/>
      <c r="M235" s="7"/>
      <c r="N235" s="7"/>
      <c r="O235" s="7"/>
    </row>
    <row r="236" spans="1:15" x14ac:dyDescent="0.25">
      <c r="A236" s="1">
        <v>233</v>
      </c>
      <c r="B236" s="1"/>
      <c r="C236" s="8" t="s">
        <v>6</v>
      </c>
      <c r="D236" s="1"/>
      <c r="E236" s="7"/>
      <c r="F236" s="1"/>
      <c r="G236" s="1"/>
      <c r="H236" s="7"/>
      <c r="I236" s="7"/>
      <c r="J236" s="7"/>
      <c r="K236" s="7"/>
      <c r="L236" s="7"/>
      <c r="M236" s="7"/>
      <c r="N236" s="7"/>
      <c r="O236" s="7"/>
    </row>
    <row r="237" spans="1:15" x14ac:dyDescent="0.25">
      <c r="A237" s="1">
        <v>234</v>
      </c>
      <c r="B237" s="1"/>
      <c r="C237" s="8" t="s">
        <v>6</v>
      </c>
      <c r="D237" s="1"/>
      <c r="E237" s="7"/>
      <c r="F237" s="1"/>
      <c r="G237" s="1"/>
      <c r="H237" s="7"/>
      <c r="I237" s="7"/>
      <c r="J237" s="7"/>
      <c r="K237" s="7"/>
      <c r="L237" s="7"/>
      <c r="M237" s="7"/>
      <c r="N237" s="7"/>
      <c r="O237" s="7"/>
    </row>
    <row r="238" spans="1:15" x14ac:dyDescent="0.25">
      <c r="A238" s="1">
        <v>235</v>
      </c>
      <c r="B238" s="1"/>
      <c r="C238" s="8" t="s">
        <v>6</v>
      </c>
      <c r="D238" s="1"/>
      <c r="E238" s="7"/>
      <c r="F238" s="1"/>
      <c r="G238" s="1"/>
      <c r="H238" s="7"/>
      <c r="I238" s="7"/>
      <c r="J238" s="7"/>
      <c r="K238" s="7"/>
      <c r="L238" s="7"/>
      <c r="M238" s="7"/>
      <c r="N238" s="7"/>
      <c r="O238" s="7"/>
    </row>
    <row r="239" spans="1:15" x14ac:dyDescent="0.25">
      <c r="A239" s="1">
        <v>236</v>
      </c>
      <c r="B239" s="1"/>
      <c r="C239" s="8" t="s">
        <v>6</v>
      </c>
      <c r="D239" s="1"/>
      <c r="E239" s="7"/>
      <c r="F239" s="1"/>
      <c r="G239" s="1"/>
      <c r="H239" s="7"/>
      <c r="I239" s="7"/>
      <c r="J239" s="7"/>
      <c r="K239" s="7"/>
      <c r="L239" s="7"/>
      <c r="M239" s="7"/>
      <c r="N239" s="7"/>
      <c r="O239" s="7"/>
    </row>
    <row r="240" spans="1:15" x14ac:dyDescent="0.25">
      <c r="A240" s="1">
        <v>237</v>
      </c>
      <c r="B240" s="1"/>
      <c r="C240" s="8" t="s">
        <v>6</v>
      </c>
      <c r="D240" s="1"/>
      <c r="E240" s="7"/>
      <c r="F240" s="1"/>
      <c r="G240" s="1"/>
      <c r="H240" s="7"/>
      <c r="I240" s="7"/>
      <c r="J240" s="7"/>
      <c r="K240" s="7"/>
      <c r="L240" s="7"/>
      <c r="M240" s="7"/>
      <c r="N240" s="7"/>
      <c r="O240" s="7"/>
    </row>
    <row r="241" spans="1:15" x14ac:dyDescent="0.25">
      <c r="A241" s="1">
        <v>238</v>
      </c>
      <c r="B241" s="1"/>
      <c r="C241" s="8" t="s">
        <v>6</v>
      </c>
      <c r="D241" s="1"/>
      <c r="E241" s="7"/>
      <c r="F241" s="1"/>
      <c r="G241" s="1"/>
      <c r="H241" s="7"/>
      <c r="I241" s="7"/>
      <c r="J241" s="7"/>
      <c r="K241" s="7"/>
      <c r="L241" s="7"/>
      <c r="M241" s="7"/>
      <c r="N241" s="7"/>
      <c r="O241" s="7"/>
    </row>
    <row r="242" spans="1:15" x14ac:dyDescent="0.25">
      <c r="A242" s="1">
        <v>239</v>
      </c>
      <c r="B242" s="1"/>
      <c r="C242" s="8" t="s">
        <v>6</v>
      </c>
      <c r="D242" s="1"/>
      <c r="E242" s="7"/>
      <c r="F242" s="1"/>
      <c r="G242" s="1"/>
      <c r="H242" s="7"/>
      <c r="I242" s="7"/>
      <c r="J242" s="7"/>
      <c r="K242" s="7"/>
      <c r="L242" s="7"/>
      <c r="M242" s="7"/>
      <c r="N242" s="7"/>
      <c r="O242" s="7"/>
    </row>
    <row r="243" spans="1:15" x14ac:dyDescent="0.25">
      <c r="A243" s="1">
        <v>240</v>
      </c>
      <c r="B243" s="1"/>
      <c r="C243" s="8" t="s">
        <v>6</v>
      </c>
      <c r="D243" s="1"/>
      <c r="E243" s="7"/>
      <c r="F243" s="1"/>
      <c r="G243" s="1"/>
      <c r="H243" s="7"/>
      <c r="I243" s="7"/>
      <c r="J243" s="7"/>
      <c r="K243" s="7"/>
      <c r="L243" s="7"/>
      <c r="M243" s="7"/>
      <c r="N243" s="7"/>
      <c r="O243" s="7"/>
    </row>
    <row r="244" spans="1:15" x14ac:dyDescent="0.25">
      <c r="A244" s="1">
        <v>241</v>
      </c>
      <c r="B244" s="1"/>
      <c r="C244" s="8" t="s">
        <v>6</v>
      </c>
      <c r="D244" s="1"/>
      <c r="E244" s="7"/>
      <c r="F244" s="1"/>
      <c r="G244" s="1"/>
      <c r="H244" s="7"/>
      <c r="I244" s="7"/>
      <c r="J244" s="7"/>
      <c r="K244" s="7"/>
      <c r="L244" s="7"/>
      <c r="M244" s="7"/>
      <c r="N244" s="7"/>
      <c r="O244" s="7"/>
    </row>
    <row r="245" spans="1:15" x14ac:dyDescent="0.25">
      <c r="A245" s="1">
        <v>242</v>
      </c>
      <c r="B245" s="1"/>
      <c r="C245" s="8" t="s">
        <v>6</v>
      </c>
      <c r="D245" s="1"/>
      <c r="E245" s="7"/>
      <c r="F245" s="1"/>
      <c r="G245" s="1"/>
      <c r="H245" s="7"/>
      <c r="I245" s="7"/>
      <c r="J245" s="7"/>
      <c r="K245" s="7"/>
      <c r="L245" s="7"/>
      <c r="M245" s="7"/>
      <c r="N245" s="7"/>
      <c r="O245" s="7"/>
    </row>
    <row r="246" spans="1:15" x14ac:dyDescent="0.25">
      <c r="A246" s="1">
        <v>243</v>
      </c>
      <c r="B246" s="1"/>
      <c r="C246" s="8" t="s">
        <v>6</v>
      </c>
      <c r="D246" s="1"/>
      <c r="E246" s="7"/>
      <c r="F246" s="1"/>
      <c r="G246" s="1"/>
      <c r="H246" s="7"/>
      <c r="I246" s="7"/>
      <c r="J246" s="7"/>
      <c r="K246" s="7"/>
      <c r="L246" s="7"/>
      <c r="M246" s="7"/>
      <c r="N246" s="7"/>
      <c r="O246" s="7"/>
    </row>
    <row r="247" spans="1:15" x14ac:dyDescent="0.25">
      <c r="A247" s="1">
        <v>244</v>
      </c>
      <c r="B247" s="1"/>
      <c r="C247" s="8" t="s">
        <v>6</v>
      </c>
      <c r="D247" s="1"/>
      <c r="E247" s="7"/>
      <c r="F247" s="1"/>
      <c r="G247" s="1"/>
      <c r="H247" s="7"/>
      <c r="I247" s="7"/>
      <c r="J247" s="7"/>
      <c r="K247" s="7"/>
      <c r="L247" s="7"/>
      <c r="M247" s="7"/>
      <c r="N247" s="7"/>
      <c r="O247" s="7"/>
    </row>
    <row r="248" spans="1:15" x14ac:dyDescent="0.25">
      <c r="A248" s="1">
        <v>245</v>
      </c>
      <c r="B248" s="1"/>
      <c r="C248" s="8" t="s">
        <v>6</v>
      </c>
      <c r="D248" s="1"/>
      <c r="E248" s="7"/>
      <c r="F248" s="1"/>
      <c r="G248" s="1"/>
      <c r="H248" s="7"/>
      <c r="I248" s="7"/>
      <c r="J248" s="7"/>
      <c r="K248" s="7"/>
      <c r="L248" s="7"/>
      <c r="M248" s="7"/>
      <c r="N248" s="7"/>
      <c r="O248" s="7"/>
    </row>
    <row r="249" spans="1:15" x14ac:dyDescent="0.25">
      <c r="A249" s="1">
        <v>246</v>
      </c>
      <c r="B249" s="1"/>
      <c r="C249" s="8" t="s">
        <v>6</v>
      </c>
      <c r="D249" s="1"/>
      <c r="E249" s="7"/>
      <c r="F249" s="1"/>
      <c r="G249" s="1"/>
      <c r="H249" s="7"/>
      <c r="I249" s="7"/>
      <c r="J249" s="7"/>
      <c r="K249" s="7"/>
      <c r="L249" s="7"/>
      <c r="M249" s="7"/>
      <c r="N249" s="7"/>
      <c r="O249" s="7"/>
    </row>
    <row r="250" spans="1:15" x14ac:dyDescent="0.25">
      <c r="A250" s="1">
        <v>247</v>
      </c>
      <c r="B250" s="1"/>
      <c r="C250" s="8" t="s">
        <v>6</v>
      </c>
      <c r="D250" s="1"/>
      <c r="E250" s="7"/>
      <c r="F250" s="1"/>
      <c r="G250" s="1"/>
      <c r="H250" s="7"/>
      <c r="I250" s="7"/>
      <c r="J250" s="7"/>
      <c r="K250" s="7"/>
      <c r="L250" s="7"/>
      <c r="M250" s="7"/>
      <c r="N250" s="7"/>
      <c r="O250" s="7"/>
    </row>
    <row r="251" spans="1:15" x14ac:dyDescent="0.25">
      <c r="A251" s="1">
        <v>248</v>
      </c>
      <c r="B251" s="1"/>
      <c r="C251" s="8" t="s">
        <v>6</v>
      </c>
      <c r="D251" s="1"/>
      <c r="E251" s="7"/>
      <c r="F251" s="1"/>
      <c r="G251" s="1"/>
      <c r="H251" s="7"/>
      <c r="I251" s="7"/>
      <c r="J251" s="7"/>
      <c r="K251" s="7"/>
      <c r="L251" s="7"/>
      <c r="M251" s="7"/>
      <c r="N251" s="7"/>
      <c r="O251" s="7"/>
    </row>
    <row r="252" spans="1:15" x14ac:dyDescent="0.25">
      <c r="A252" s="1">
        <v>249</v>
      </c>
      <c r="B252" s="1"/>
      <c r="C252" s="8" t="s">
        <v>6</v>
      </c>
      <c r="D252" s="1"/>
      <c r="E252" s="7"/>
      <c r="F252" s="1"/>
      <c r="G252" s="1"/>
      <c r="H252" s="7"/>
      <c r="I252" s="7"/>
      <c r="J252" s="7"/>
      <c r="K252" s="7"/>
      <c r="L252" s="7"/>
      <c r="M252" s="7"/>
      <c r="N252" s="7"/>
      <c r="O252" s="7"/>
    </row>
    <row r="253" spans="1:15" x14ac:dyDescent="0.25">
      <c r="A253" s="1">
        <v>250</v>
      </c>
      <c r="B253" s="1"/>
      <c r="C253" s="8" t="s">
        <v>6</v>
      </c>
      <c r="D253" s="1"/>
      <c r="E253" s="7"/>
      <c r="F253" s="1"/>
      <c r="G253" s="1"/>
      <c r="H253" s="7"/>
      <c r="I253" s="7"/>
      <c r="J253" s="7"/>
      <c r="K253" s="7"/>
      <c r="L253" s="7"/>
      <c r="M253" s="7"/>
      <c r="N253" s="7"/>
      <c r="O253" s="7"/>
    </row>
    <row r="254" spans="1:15" x14ac:dyDescent="0.25">
      <c r="A254" s="1">
        <v>251</v>
      </c>
      <c r="B254" s="1"/>
      <c r="C254" s="8" t="s">
        <v>6</v>
      </c>
      <c r="D254" s="1"/>
      <c r="E254" s="7"/>
      <c r="F254" s="1"/>
      <c r="G254" s="1"/>
      <c r="H254" s="7"/>
      <c r="I254" s="7"/>
      <c r="J254" s="7"/>
      <c r="K254" s="7"/>
      <c r="L254" s="7"/>
      <c r="M254" s="7"/>
      <c r="N254" s="7"/>
      <c r="O254" s="7"/>
    </row>
    <row r="255" spans="1:15" x14ac:dyDescent="0.25">
      <c r="A255" s="1">
        <v>252</v>
      </c>
      <c r="B255" s="1"/>
      <c r="C255" s="8" t="s">
        <v>6</v>
      </c>
      <c r="D255" s="1"/>
      <c r="E255" s="7"/>
      <c r="F255" s="1"/>
      <c r="G255" s="1"/>
      <c r="H255" s="7"/>
      <c r="I255" s="7"/>
      <c r="J255" s="7"/>
      <c r="K255" s="7"/>
      <c r="L255" s="7"/>
      <c r="M255" s="7"/>
      <c r="N255" s="7"/>
      <c r="O255" s="7"/>
    </row>
    <row r="256" spans="1:15" x14ac:dyDescent="0.25">
      <c r="A256" s="1">
        <v>253</v>
      </c>
      <c r="B256" s="1"/>
      <c r="C256" s="8" t="s">
        <v>6</v>
      </c>
      <c r="D256" s="1"/>
      <c r="E256" s="7"/>
      <c r="F256" s="1"/>
      <c r="G256" s="1"/>
      <c r="H256" s="7"/>
      <c r="I256" s="7"/>
      <c r="J256" s="7"/>
      <c r="K256" s="7"/>
      <c r="L256" s="7"/>
      <c r="M256" s="7"/>
      <c r="N256" s="7"/>
      <c r="O256" s="7"/>
    </row>
    <row r="257" spans="1:15" x14ac:dyDescent="0.25">
      <c r="A257" s="1">
        <v>254</v>
      </c>
      <c r="B257" s="1"/>
      <c r="C257" s="8" t="s">
        <v>6</v>
      </c>
      <c r="D257" s="1"/>
      <c r="E257" s="7"/>
      <c r="F257" s="1"/>
      <c r="G257" s="1"/>
      <c r="H257" s="7"/>
      <c r="I257" s="7"/>
      <c r="J257" s="7"/>
      <c r="K257" s="7"/>
      <c r="L257" s="7"/>
      <c r="M257" s="7"/>
      <c r="N257" s="7"/>
      <c r="O257" s="7"/>
    </row>
    <row r="258" spans="1:15" x14ac:dyDescent="0.25">
      <c r="A258" s="1">
        <v>255</v>
      </c>
      <c r="B258" s="1"/>
      <c r="C258" s="8" t="s">
        <v>6</v>
      </c>
      <c r="D258" s="1"/>
      <c r="E258" s="7"/>
      <c r="F258" s="1"/>
      <c r="G258" s="1"/>
      <c r="H258" s="7"/>
      <c r="I258" s="7"/>
      <c r="J258" s="7"/>
      <c r="K258" s="7"/>
      <c r="L258" s="7"/>
      <c r="M258" s="7"/>
      <c r="N258" s="7"/>
      <c r="O258" s="7"/>
    </row>
    <row r="259" spans="1:15" x14ac:dyDescent="0.25">
      <c r="A259" s="1">
        <v>256</v>
      </c>
      <c r="B259" s="1"/>
      <c r="C259" s="8" t="s">
        <v>6</v>
      </c>
      <c r="D259" s="1"/>
      <c r="E259" s="7"/>
      <c r="F259" s="1"/>
      <c r="G259" s="1"/>
      <c r="H259" s="7"/>
      <c r="I259" s="7"/>
      <c r="J259" s="7"/>
      <c r="K259" s="7"/>
      <c r="L259" s="7"/>
      <c r="M259" s="7"/>
      <c r="N259" s="7"/>
      <c r="O259" s="7"/>
    </row>
    <row r="260" spans="1:15" x14ac:dyDescent="0.25">
      <c r="A260" s="1">
        <v>257</v>
      </c>
      <c r="B260" s="1"/>
      <c r="C260" s="8" t="s">
        <v>6</v>
      </c>
      <c r="D260" s="1"/>
      <c r="E260" s="7"/>
      <c r="F260" s="1"/>
      <c r="G260" s="1"/>
      <c r="H260" s="7"/>
      <c r="I260" s="7"/>
      <c r="J260" s="7"/>
      <c r="K260" s="7"/>
      <c r="L260" s="7"/>
      <c r="M260" s="7"/>
      <c r="N260" s="7"/>
      <c r="O260" s="7"/>
    </row>
    <row r="261" spans="1:15" x14ac:dyDescent="0.25">
      <c r="A261" s="1">
        <v>258</v>
      </c>
      <c r="B261" s="1"/>
      <c r="C261" s="8" t="s">
        <v>6</v>
      </c>
      <c r="D261" s="1"/>
      <c r="E261" s="7"/>
      <c r="F261" s="1"/>
      <c r="G261" s="1"/>
      <c r="H261" s="7"/>
      <c r="I261" s="7"/>
      <c r="J261" s="7"/>
      <c r="K261" s="7"/>
      <c r="L261" s="7"/>
      <c r="M261" s="7"/>
      <c r="N261" s="7"/>
      <c r="O261" s="7"/>
    </row>
    <row r="262" spans="1:15" x14ac:dyDescent="0.25">
      <c r="A262" s="1">
        <v>259</v>
      </c>
      <c r="B262" s="1"/>
      <c r="C262" s="8" t="s">
        <v>6</v>
      </c>
      <c r="D262" s="1"/>
      <c r="E262" s="7"/>
      <c r="F262" s="1"/>
      <c r="G262" s="1"/>
      <c r="H262" s="7"/>
      <c r="I262" s="7"/>
      <c r="J262" s="7"/>
      <c r="K262" s="7"/>
      <c r="L262" s="7"/>
      <c r="M262" s="7"/>
      <c r="N262" s="7"/>
      <c r="O262" s="7"/>
    </row>
    <row r="263" spans="1:15" x14ac:dyDescent="0.25">
      <c r="A263" s="1">
        <v>260</v>
      </c>
      <c r="B263" s="1"/>
      <c r="C263" s="8" t="s">
        <v>6</v>
      </c>
      <c r="D263" s="1"/>
      <c r="E263" s="7"/>
      <c r="F263" s="1"/>
      <c r="G263" s="1"/>
      <c r="H263" s="7"/>
      <c r="I263" s="7"/>
      <c r="J263" s="7"/>
      <c r="K263" s="7"/>
      <c r="L263" s="7"/>
      <c r="M263" s="7"/>
      <c r="N263" s="7"/>
      <c r="O263" s="7"/>
    </row>
    <row r="264" spans="1:15" x14ac:dyDescent="0.25">
      <c r="A264" s="1">
        <v>261</v>
      </c>
      <c r="B264" s="1"/>
      <c r="C264" s="8" t="s">
        <v>6</v>
      </c>
      <c r="D264" s="1"/>
      <c r="E264" s="7"/>
      <c r="F264" s="1"/>
      <c r="G264" s="1"/>
      <c r="H264" s="7"/>
      <c r="I264" s="7"/>
      <c r="J264" s="7"/>
      <c r="K264" s="7"/>
      <c r="L264" s="7"/>
      <c r="M264" s="7"/>
      <c r="N264" s="7"/>
      <c r="O264" s="7"/>
    </row>
    <row r="265" spans="1:15" x14ac:dyDescent="0.25">
      <c r="A265" s="1">
        <v>262</v>
      </c>
      <c r="B265" s="1"/>
      <c r="C265" s="8" t="s">
        <v>6</v>
      </c>
      <c r="D265" s="1"/>
      <c r="E265" s="7"/>
      <c r="F265" s="1"/>
      <c r="G265" s="1"/>
      <c r="H265" s="7"/>
      <c r="I265" s="7"/>
      <c r="J265" s="7"/>
      <c r="K265" s="7"/>
      <c r="L265" s="7"/>
      <c r="M265" s="7"/>
      <c r="N265" s="7"/>
      <c r="O265" s="7"/>
    </row>
    <row r="266" spans="1:15" x14ac:dyDescent="0.25">
      <c r="A266" s="1">
        <v>263</v>
      </c>
      <c r="B266" s="1"/>
      <c r="C266" s="8" t="s">
        <v>6</v>
      </c>
      <c r="D266" s="1"/>
      <c r="E266" s="7"/>
      <c r="F266" s="1"/>
      <c r="G266" s="1"/>
      <c r="H266" s="7"/>
      <c r="I266" s="7"/>
      <c r="J266" s="7"/>
      <c r="K266" s="7"/>
      <c r="L266" s="7"/>
      <c r="M266" s="7"/>
      <c r="N266" s="7"/>
      <c r="O266" s="7"/>
    </row>
    <row r="267" spans="1:15" x14ac:dyDescent="0.25">
      <c r="A267" s="1">
        <v>264</v>
      </c>
      <c r="B267" s="1"/>
      <c r="C267" s="8" t="s">
        <v>6</v>
      </c>
      <c r="D267" s="1"/>
      <c r="E267" s="7"/>
      <c r="F267" s="1"/>
      <c r="G267" s="1"/>
      <c r="H267" s="7"/>
      <c r="I267" s="7"/>
      <c r="J267" s="7"/>
      <c r="K267" s="7"/>
      <c r="L267" s="7"/>
      <c r="M267" s="7"/>
      <c r="N267" s="7"/>
      <c r="O267" s="7"/>
    </row>
    <row r="268" spans="1:15" x14ac:dyDescent="0.25">
      <c r="A268" s="1">
        <v>265</v>
      </c>
      <c r="B268" s="1"/>
      <c r="C268" s="8" t="s">
        <v>6</v>
      </c>
      <c r="D268" s="1"/>
      <c r="E268" s="7"/>
      <c r="F268" s="1"/>
      <c r="G268" s="1"/>
      <c r="H268" s="7"/>
      <c r="I268" s="7"/>
      <c r="J268" s="7"/>
      <c r="K268" s="7"/>
      <c r="L268" s="7"/>
      <c r="M268" s="7"/>
      <c r="N268" s="7"/>
      <c r="O268" s="7"/>
    </row>
    <row r="269" spans="1:15" x14ac:dyDescent="0.25">
      <c r="A269" s="1">
        <v>266</v>
      </c>
      <c r="B269" s="1"/>
      <c r="C269" s="8" t="s">
        <v>6</v>
      </c>
      <c r="D269" s="1"/>
      <c r="E269" s="7"/>
      <c r="F269" s="1"/>
      <c r="G269" s="1"/>
      <c r="H269" s="7"/>
      <c r="I269" s="7"/>
      <c r="J269" s="7"/>
      <c r="K269" s="7"/>
      <c r="L269" s="7"/>
      <c r="M269" s="7"/>
      <c r="N269" s="7"/>
      <c r="O269" s="7"/>
    </row>
    <row r="270" spans="1:15" x14ac:dyDescent="0.25">
      <c r="A270" s="1">
        <v>267</v>
      </c>
      <c r="B270" s="1"/>
      <c r="C270" s="8" t="s">
        <v>6</v>
      </c>
      <c r="D270" s="1"/>
      <c r="E270" s="7"/>
      <c r="F270" s="1"/>
      <c r="G270" s="1"/>
      <c r="H270" s="7"/>
      <c r="I270" s="7"/>
      <c r="J270" s="7"/>
      <c r="K270" s="7"/>
      <c r="L270" s="7"/>
      <c r="M270" s="7"/>
      <c r="N270" s="7"/>
      <c r="O270" s="7"/>
    </row>
    <row r="271" spans="1:15" x14ac:dyDescent="0.25">
      <c r="A271" s="1">
        <v>268</v>
      </c>
      <c r="B271" s="1"/>
      <c r="C271" s="8" t="s">
        <v>6</v>
      </c>
      <c r="D271" s="1"/>
      <c r="E271" s="7"/>
      <c r="F271" s="1"/>
      <c r="G271" s="1"/>
      <c r="H271" s="7"/>
      <c r="I271" s="7"/>
      <c r="J271" s="7"/>
      <c r="K271" s="7"/>
      <c r="L271" s="7"/>
      <c r="M271" s="7"/>
      <c r="N271" s="7"/>
      <c r="O271" s="7"/>
    </row>
    <row r="272" spans="1:15" x14ac:dyDescent="0.25">
      <c r="A272" s="1">
        <v>269</v>
      </c>
      <c r="B272" s="1"/>
      <c r="C272" s="8" t="s">
        <v>6</v>
      </c>
      <c r="D272" s="1"/>
      <c r="E272" s="7"/>
      <c r="F272" s="1"/>
      <c r="G272" s="1"/>
      <c r="H272" s="7"/>
      <c r="I272" s="7"/>
      <c r="J272" s="7"/>
      <c r="K272" s="7"/>
      <c r="L272" s="7"/>
      <c r="M272" s="7"/>
      <c r="N272" s="7"/>
      <c r="O272" s="7"/>
    </row>
    <row r="273" spans="1:15" x14ac:dyDescent="0.25">
      <c r="A273" s="1">
        <v>270</v>
      </c>
      <c r="B273" s="1"/>
      <c r="C273" s="8" t="s">
        <v>6</v>
      </c>
      <c r="D273" s="1"/>
      <c r="E273" s="7"/>
      <c r="F273" s="1"/>
      <c r="G273" s="1"/>
      <c r="H273" s="7"/>
      <c r="I273" s="7"/>
      <c r="J273" s="7"/>
      <c r="K273" s="7"/>
      <c r="L273" s="7"/>
      <c r="M273" s="7"/>
      <c r="N273" s="7"/>
      <c r="O273" s="7"/>
    </row>
    <row r="274" spans="1:15" x14ac:dyDescent="0.25">
      <c r="A274" s="1">
        <v>271</v>
      </c>
      <c r="B274" s="1"/>
      <c r="C274" s="8" t="s">
        <v>6</v>
      </c>
      <c r="D274" s="1"/>
      <c r="E274" s="7"/>
      <c r="F274" s="1"/>
      <c r="G274" s="1"/>
      <c r="H274" s="7"/>
      <c r="I274" s="7"/>
      <c r="J274" s="7"/>
      <c r="K274" s="7"/>
      <c r="L274" s="7"/>
      <c r="M274" s="7"/>
      <c r="N274" s="7"/>
      <c r="O274" s="7"/>
    </row>
    <row r="275" spans="1:15" x14ac:dyDescent="0.25">
      <c r="A275" s="1">
        <v>272</v>
      </c>
      <c r="B275" s="1"/>
      <c r="C275" s="8" t="s">
        <v>6</v>
      </c>
      <c r="D275" s="1"/>
      <c r="E275" s="7"/>
      <c r="F275" s="1"/>
      <c r="G275" s="1"/>
      <c r="H275" s="7"/>
      <c r="I275" s="7"/>
      <c r="J275" s="7"/>
      <c r="K275" s="7"/>
      <c r="L275" s="7"/>
      <c r="M275" s="7"/>
      <c r="N275" s="7"/>
      <c r="O275" s="7"/>
    </row>
    <row r="276" spans="1:15" x14ac:dyDescent="0.25">
      <c r="A276" s="1">
        <v>273</v>
      </c>
      <c r="B276" s="1"/>
      <c r="C276" s="8" t="s">
        <v>6</v>
      </c>
      <c r="D276" s="1"/>
      <c r="E276" s="7"/>
      <c r="F276" s="1"/>
      <c r="G276" s="1"/>
      <c r="H276" s="7"/>
      <c r="I276" s="7"/>
      <c r="J276" s="7"/>
      <c r="K276" s="7"/>
      <c r="L276" s="7"/>
      <c r="M276" s="7"/>
      <c r="N276" s="7"/>
      <c r="O276" s="7"/>
    </row>
    <row r="277" spans="1:15" x14ac:dyDescent="0.25">
      <c r="A277" s="1">
        <v>274</v>
      </c>
      <c r="B277" s="1"/>
      <c r="C277" s="8" t="s">
        <v>6</v>
      </c>
      <c r="D277" s="1"/>
      <c r="E277" s="7"/>
      <c r="F277" s="1"/>
      <c r="G277" s="1"/>
      <c r="H277" s="7"/>
      <c r="I277" s="7"/>
      <c r="J277" s="7"/>
      <c r="K277" s="7"/>
      <c r="L277" s="7"/>
      <c r="M277" s="7"/>
      <c r="N277" s="7"/>
      <c r="O277" s="7"/>
    </row>
    <row r="278" spans="1:15" x14ac:dyDescent="0.25">
      <c r="A278" s="1">
        <v>275</v>
      </c>
      <c r="B278" s="1"/>
      <c r="C278" s="8" t="s">
        <v>6</v>
      </c>
      <c r="D278" s="1"/>
      <c r="E278" s="7"/>
      <c r="F278" s="1"/>
      <c r="G278" s="1"/>
      <c r="H278" s="7"/>
      <c r="I278" s="7"/>
      <c r="J278" s="7"/>
      <c r="K278" s="7"/>
      <c r="L278" s="7"/>
      <c r="M278" s="7"/>
      <c r="N278" s="7"/>
      <c r="O278" s="7"/>
    </row>
    <row r="279" spans="1:15" x14ac:dyDescent="0.25">
      <c r="A279" s="1">
        <v>276</v>
      </c>
      <c r="B279" s="1"/>
      <c r="C279" s="8" t="s">
        <v>6</v>
      </c>
      <c r="D279" s="1"/>
      <c r="E279" s="7"/>
      <c r="F279" s="1"/>
      <c r="G279" s="1"/>
      <c r="H279" s="7"/>
      <c r="I279" s="7"/>
      <c r="J279" s="7"/>
      <c r="K279" s="7"/>
      <c r="L279" s="7"/>
      <c r="M279" s="7"/>
      <c r="N279" s="7"/>
      <c r="O279" s="7"/>
    </row>
    <row r="280" spans="1:15" x14ac:dyDescent="0.25">
      <c r="A280" s="1">
        <v>277</v>
      </c>
      <c r="B280" s="1"/>
      <c r="C280" s="8" t="s">
        <v>6</v>
      </c>
      <c r="D280" s="1"/>
      <c r="E280" s="7"/>
      <c r="F280" s="1"/>
      <c r="G280" s="1"/>
      <c r="H280" s="7"/>
      <c r="I280" s="7"/>
      <c r="J280" s="7"/>
      <c r="K280" s="7"/>
      <c r="L280" s="7"/>
      <c r="M280" s="7"/>
      <c r="N280" s="7"/>
      <c r="O280" s="7"/>
    </row>
    <row r="281" spans="1:15" x14ac:dyDescent="0.25">
      <c r="A281" s="1">
        <v>278</v>
      </c>
      <c r="B281" s="1"/>
      <c r="C281" s="8" t="s">
        <v>6</v>
      </c>
      <c r="D281" s="1"/>
      <c r="E281" s="7"/>
      <c r="F281" s="1"/>
      <c r="G281" s="1"/>
      <c r="H281" s="7"/>
      <c r="I281" s="7"/>
      <c r="J281" s="7"/>
      <c r="K281" s="7"/>
      <c r="L281" s="7"/>
      <c r="M281" s="7"/>
      <c r="N281" s="7"/>
      <c r="O281" s="7"/>
    </row>
    <row r="282" spans="1:15" x14ac:dyDescent="0.25">
      <c r="A282" s="1">
        <v>279</v>
      </c>
      <c r="B282" s="1"/>
      <c r="C282" s="8" t="s">
        <v>6</v>
      </c>
      <c r="D282" s="1"/>
      <c r="E282" s="7"/>
      <c r="F282" s="1"/>
      <c r="G282" s="1"/>
      <c r="H282" s="7"/>
      <c r="I282" s="7"/>
      <c r="J282" s="7"/>
      <c r="K282" s="7"/>
      <c r="L282" s="7"/>
      <c r="M282" s="7"/>
      <c r="N282" s="7"/>
      <c r="O282" s="7"/>
    </row>
    <row r="283" spans="1:15" x14ac:dyDescent="0.25">
      <c r="A283" s="1">
        <v>280</v>
      </c>
      <c r="B283" s="1"/>
      <c r="C283" s="8" t="s">
        <v>6</v>
      </c>
      <c r="D283" s="1"/>
      <c r="E283" s="7"/>
      <c r="F283" s="1"/>
      <c r="G283" s="1"/>
      <c r="H283" s="7"/>
      <c r="I283" s="7"/>
      <c r="J283" s="7"/>
      <c r="K283" s="7"/>
      <c r="L283" s="7"/>
      <c r="M283" s="7"/>
      <c r="N283" s="7"/>
      <c r="O283" s="7"/>
    </row>
    <row r="284" spans="1:15" x14ac:dyDescent="0.25">
      <c r="A284" s="1">
        <v>281</v>
      </c>
      <c r="B284" s="1"/>
      <c r="C284" s="8" t="s">
        <v>6</v>
      </c>
      <c r="D284" s="1"/>
      <c r="E284" s="7"/>
      <c r="F284" s="1"/>
      <c r="G284" s="1"/>
      <c r="H284" s="7"/>
      <c r="I284" s="7"/>
      <c r="J284" s="7"/>
      <c r="K284" s="7"/>
      <c r="L284" s="7"/>
      <c r="M284" s="7"/>
      <c r="N284" s="7"/>
      <c r="O284" s="7"/>
    </row>
    <row r="285" spans="1:15" x14ac:dyDescent="0.25">
      <c r="A285" s="1">
        <v>282</v>
      </c>
      <c r="B285" s="1"/>
      <c r="C285" s="8" t="s">
        <v>6</v>
      </c>
      <c r="D285" s="1"/>
      <c r="E285" s="7"/>
      <c r="F285" s="1"/>
      <c r="G285" s="1"/>
      <c r="H285" s="7"/>
      <c r="I285" s="7"/>
      <c r="J285" s="7"/>
      <c r="K285" s="7"/>
      <c r="L285" s="7"/>
      <c r="M285" s="7"/>
      <c r="N285" s="7"/>
      <c r="O285" s="7"/>
    </row>
    <row r="286" spans="1:15" x14ac:dyDescent="0.25">
      <c r="A286" s="1">
        <v>283</v>
      </c>
      <c r="B286" s="1"/>
      <c r="C286" s="8" t="s">
        <v>6</v>
      </c>
      <c r="D286" s="1"/>
      <c r="E286" s="7"/>
      <c r="F286" s="1"/>
      <c r="G286" s="1"/>
      <c r="H286" s="7"/>
      <c r="I286" s="7"/>
      <c r="J286" s="7"/>
      <c r="K286" s="7"/>
      <c r="L286" s="7"/>
      <c r="M286" s="7"/>
      <c r="N286" s="7"/>
      <c r="O286" s="7"/>
    </row>
    <row r="287" spans="1:15" x14ac:dyDescent="0.25">
      <c r="A287" s="1">
        <v>284</v>
      </c>
      <c r="B287" s="1"/>
      <c r="C287" s="8" t="s">
        <v>6</v>
      </c>
      <c r="D287" s="1"/>
      <c r="E287" s="7"/>
      <c r="F287" s="1"/>
      <c r="G287" s="1"/>
      <c r="H287" s="7"/>
      <c r="I287" s="7"/>
      <c r="J287" s="7"/>
      <c r="K287" s="7"/>
      <c r="L287" s="7"/>
      <c r="M287" s="7"/>
      <c r="N287" s="7"/>
      <c r="O287" s="7"/>
    </row>
    <row r="288" spans="1:15" x14ac:dyDescent="0.25">
      <c r="A288" s="1">
        <v>285</v>
      </c>
      <c r="B288" s="1"/>
      <c r="C288" s="8" t="s">
        <v>6</v>
      </c>
      <c r="D288" s="1"/>
      <c r="E288" s="7"/>
      <c r="F288" s="1"/>
      <c r="G288" s="1"/>
      <c r="H288" s="7"/>
      <c r="I288" s="7"/>
      <c r="J288" s="7"/>
      <c r="K288" s="7"/>
      <c r="L288" s="7"/>
      <c r="M288" s="7"/>
      <c r="N288" s="7"/>
      <c r="O288" s="7"/>
    </row>
    <row r="289" spans="1:15" x14ac:dyDescent="0.25">
      <c r="A289" s="1">
        <v>286</v>
      </c>
      <c r="B289" s="1"/>
      <c r="C289" s="8" t="s">
        <v>6</v>
      </c>
      <c r="D289" s="1"/>
      <c r="E289" s="7"/>
      <c r="F289" s="1"/>
      <c r="G289" s="1"/>
      <c r="H289" s="7"/>
      <c r="I289" s="7"/>
      <c r="J289" s="7"/>
      <c r="K289" s="7"/>
      <c r="L289" s="7"/>
      <c r="M289" s="7"/>
      <c r="N289" s="7"/>
      <c r="O289" s="7"/>
    </row>
    <row r="290" spans="1:15" x14ac:dyDescent="0.25">
      <c r="A290" s="1">
        <v>287</v>
      </c>
      <c r="B290" s="1"/>
      <c r="C290" s="8" t="s">
        <v>6</v>
      </c>
      <c r="D290" s="1"/>
      <c r="E290" s="7"/>
      <c r="F290" s="1"/>
      <c r="G290" s="1"/>
      <c r="H290" s="7"/>
      <c r="I290" s="7"/>
      <c r="J290" s="7"/>
      <c r="K290" s="7"/>
      <c r="L290" s="7"/>
      <c r="M290" s="7"/>
      <c r="N290" s="7"/>
      <c r="O290" s="7"/>
    </row>
    <row r="291" spans="1:15" x14ac:dyDescent="0.25">
      <c r="A291" s="1">
        <v>288</v>
      </c>
      <c r="B291" s="1"/>
      <c r="C291" s="8" t="s">
        <v>6</v>
      </c>
      <c r="D291" s="1"/>
      <c r="E291" s="7"/>
      <c r="F291" s="1"/>
      <c r="G291" s="1"/>
      <c r="H291" s="7"/>
      <c r="I291" s="7"/>
      <c r="J291" s="7"/>
      <c r="K291" s="7"/>
      <c r="L291" s="7"/>
      <c r="M291" s="7"/>
      <c r="N291" s="7"/>
      <c r="O291" s="7"/>
    </row>
    <row r="292" spans="1:15" x14ac:dyDescent="0.25">
      <c r="A292" s="1">
        <v>289</v>
      </c>
      <c r="B292" s="1"/>
      <c r="C292" s="8" t="s">
        <v>6</v>
      </c>
      <c r="D292" s="1"/>
      <c r="E292" s="7"/>
      <c r="F292" s="1"/>
      <c r="G292" s="1"/>
      <c r="H292" s="7"/>
      <c r="I292" s="7"/>
      <c r="J292" s="7"/>
      <c r="K292" s="7"/>
      <c r="L292" s="7"/>
      <c r="M292" s="7"/>
      <c r="N292" s="7"/>
      <c r="O292" s="7"/>
    </row>
    <row r="293" spans="1:15" x14ac:dyDescent="0.25">
      <c r="A293" s="1">
        <v>290</v>
      </c>
      <c r="B293" s="1"/>
      <c r="C293" s="8" t="s">
        <v>6</v>
      </c>
      <c r="D293" s="1"/>
      <c r="E293" s="7"/>
      <c r="F293" s="1"/>
      <c r="G293" s="1"/>
      <c r="H293" s="7"/>
      <c r="I293" s="7"/>
      <c r="J293" s="7"/>
      <c r="K293" s="7"/>
      <c r="L293" s="7"/>
      <c r="M293" s="7"/>
      <c r="N293" s="7"/>
      <c r="O293" s="7"/>
    </row>
    <row r="294" spans="1:15" x14ac:dyDescent="0.25">
      <c r="A294" s="1">
        <v>291</v>
      </c>
      <c r="B294" s="1"/>
      <c r="C294" s="8" t="s">
        <v>6</v>
      </c>
      <c r="D294" s="1"/>
      <c r="E294" s="7"/>
      <c r="F294" s="1"/>
      <c r="G294" s="1"/>
      <c r="H294" s="7"/>
      <c r="I294" s="7"/>
      <c r="J294" s="7"/>
      <c r="K294" s="7"/>
      <c r="L294" s="7"/>
      <c r="M294" s="7"/>
      <c r="N294" s="7"/>
      <c r="O294" s="7"/>
    </row>
    <row r="295" spans="1:15" x14ac:dyDescent="0.25">
      <c r="A295" s="1">
        <v>292</v>
      </c>
      <c r="B295" s="1"/>
      <c r="C295" s="8" t="s">
        <v>6</v>
      </c>
      <c r="D295" s="1"/>
      <c r="E295" s="7"/>
      <c r="F295" s="1"/>
      <c r="G295" s="1"/>
      <c r="H295" s="7"/>
      <c r="I295" s="7"/>
      <c r="J295" s="7"/>
      <c r="K295" s="7"/>
      <c r="L295" s="7"/>
      <c r="M295" s="7"/>
      <c r="N295" s="7"/>
      <c r="O295" s="7"/>
    </row>
    <row r="296" spans="1:15" x14ac:dyDescent="0.25">
      <c r="A296" s="1">
        <v>293</v>
      </c>
      <c r="B296" s="1"/>
      <c r="C296" s="8" t="s">
        <v>6</v>
      </c>
      <c r="D296" s="1"/>
      <c r="E296" s="7"/>
      <c r="F296" s="1"/>
      <c r="G296" s="1"/>
      <c r="H296" s="7"/>
      <c r="I296" s="7"/>
      <c r="J296" s="7"/>
      <c r="K296" s="7"/>
      <c r="L296" s="7"/>
      <c r="M296" s="7"/>
      <c r="N296" s="7"/>
      <c r="O296" s="7"/>
    </row>
    <row r="297" spans="1:15" x14ac:dyDescent="0.25">
      <c r="A297" s="1">
        <v>294</v>
      </c>
      <c r="B297" s="1"/>
      <c r="C297" s="8" t="s">
        <v>6</v>
      </c>
      <c r="D297" s="1"/>
      <c r="E297" s="7"/>
      <c r="F297" s="1"/>
      <c r="G297" s="1"/>
      <c r="H297" s="7"/>
      <c r="I297" s="7"/>
      <c r="J297" s="7"/>
      <c r="K297" s="7"/>
      <c r="L297" s="7"/>
      <c r="M297" s="7"/>
      <c r="N297" s="7"/>
      <c r="O297" s="7"/>
    </row>
    <row r="298" spans="1:15" x14ac:dyDescent="0.25">
      <c r="A298" s="1">
        <v>295</v>
      </c>
      <c r="B298" s="1"/>
      <c r="C298" s="8" t="s">
        <v>6</v>
      </c>
      <c r="D298" s="1"/>
      <c r="E298" s="7"/>
      <c r="F298" s="1"/>
      <c r="G298" s="1"/>
      <c r="H298" s="7"/>
      <c r="I298" s="7"/>
      <c r="J298" s="7"/>
      <c r="K298" s="7"/>
      <c r="L298" s="7"/>
      <c r="M298" s="7"/>
      <c r="N298" s="7"/>
      <c r="O298" s="7"/>
    </row>
    <row r="299" spans="1:15" x14ac:dyDescent="0.25">
      <c r="A299" s="1">
        <v>296</v>
      </c>
      <c r="B299" s="1"/>
      <c r="C299" s="8" t="s">
        <v>6</v>
      </c>
      <c r="D299" s="1"/>
      <c r="E299" s="7"/>
      <c r="F299" s="1"/>
      <c r="G299" s="1"/>
      <c r="H299" s="7"/>
      <c r="I299" s="7"/>
      <c r="J299" s="7"/>
      <c r="K299" s="7"/>
      <c r="L299" s="7"/>
      <c r="M299" s="7"/>
      <c r="N299" s="7"/>
      <c r="O299" s="7"/>
    </row>
    <row r="300" spans="1:15" x14ac:dyDescent="0.25">
      <c r="A300" s="1">
        <v>297</v>
      </c>
      <c r="B300" s="1"/>
      <c r="C300" s="8" t="s">
        <v>6</v>
      </c>
      <c r="D300" s="1"/>
      <c r="E300" s="7"/>
      <c r="F300" s="1"/>
      <c r="G300" s="1"/>
      <c r="H300" s="7"/>
      <c r="I300" s="7"/>
      <c r="J300" s="7"/>
      <c r="K300" s="7"/>
      <c r="L300" s="7"/>
      <c r="M300" s="7"/>
      <c r="N300" s="7"/>
      <c r="O300" s="7"/>
    </row>
    <row r="301" spans="1:15" x14ac:dyDescent="0.25">
      <c r="A301" s="1">
        <v>298</v>
      </c>
      <c r="B301" s="1"/>
      <c r="C301" s="8" t="s">
        <v>6</v>
      </c>
      <c r="D301" s="1"/>
      <c r="E301" s="7"/>
      <c r="F301" s="1"/>
      <c r="G301" s="1"/>
      <c r="H301" s="7"/>
      <c r="I301" s="7"/>
      <c r="J301" s="7"/>
      <c r="K301" s="7"/>
      <c r="L301" s="7"/>
      <c r="M301" s="7"/>
      <c r="N301" s="7"/>
      <c r="O301" s="7"/>
    </row>
    <row r="302" spans="1:15" x14ac:dyDescent="0.25">
      <c r="A302" s="1">
        <v>299</v>
      </c>
      <c r="B302" s="1"/>
      <c r="C302" s="8" t="s">
        <v>6</v>
      </c>
      <c r="D302" s="1"/>
      <c r="E302" s="7"/>
      <c r="F302" s="1"/>
      <c r="G302" s="1"/>
      <c r="H302" s="7"/>
      <c r="I302" s="7"/>
      <c r="J302" s="7"/>
      <c r="K302" s="7"/>
      <c r="L302" s="7"/>
      <c r="M302" s="7"/>
      <c r="N302" s="7"/>
      <c r="O302" s="7"/>
    </row>
    <row r="303" spans="1:15" x14ac:dyDescent="0.25">
      <c r="A303" s="1">
        <v>300</v>
      </c>
      <c r="B303" s="1"/>
      <c r="C303" s="8" t="s">
        <v>6</v>
      </c>
      <c r="D303" s="1"/>
      <c r="E303" s="7"/>
      <c r="F303" s="1"/>
      <c r="G303" s="1"/>
      <c r="H303" s="7"/>
      <c r="I303" s="7"/>
      <c r="J303" s="7"/>
      <c r="K303" s="7"/>
      <c r="L303" s="7"/>
      <c r="M303" s="7"/>
      <c r="N303" s="7"/>
      <c r="O303" s="7"/>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INDIRECT(Summary!$E$7)</xm:f>
          </x14:formula1>
          <xm:sqref>G4:G13</xm:sqref>
        </x14:dataValidation>
        <x14:dataValidation type="list" allowBlank="1" showInputMessage="1" showErrorMessage="1" xr:uid="{00000000-0002-0000-0500-000001000000}">
          <x14:formula1>
            <xm:f>Master!$C$2:$C$6</xm:f>
          </x14:formula1>
          <xm:sqref>C4:C303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M22"/>
  <sheetViews>
    <sheetView showGridLines="0" zoomScaleNormal="100" workbookViewId="0">
      <selection activeCell="B6" sqref="B6"/>
    </sheetView>
  </sheetViews>
  <sheetFormatPr defaultRowHeight="15" x14ac:dyDescent="0.25"/>
  <cols>
    <col min="2" max="2" width="6.140625" customWidth="1"/>
    <col min="3" max="3" width="33.7109375" customWidth="1"/>
    <col min="4" max="4" width="13.7109375" bestFit="1" customWidth="1"/>
    <col min="5" max="5" width="13.42578125" customWidth="1"/>
    <col min="7" max="7" width="13.7109375" bestFit="1" customWidth="1"/>
    <col min="8" max="8" width="13.5703125" customWidth="1"/>
    <col min="9" max="9" width="14.85546875" customWidth="1"/>
    <col min="10" max="10" width="16.7109375" bestFit="1" customWidth="1"/>
  </cols>
  <sheetData>
    <row r="1" spans="2:13" x14ac:dyDescent="0.25">
      <c r="D1" s="36" t="s">
        <v>88</v>
      </c>
      <c r="E1" s="35" t="str">
        <f>Summary!$E$2</f>
        <v>&lt;Client/Prospect Name&gt;</v>
      </c>
      <c r="F1" s="35"/>
    </row>
    <row r="2" spans="2:13" x14ac:dyDescent="0.25">
      <c r="D2" s="36" t="s">
        <v>91</v>
      </c>
      <c r="E2" s="35" t="str">
        <f>Summary!$E$3</f>
        <v>&lt;Project/Requirement &gt;</v>
      </c>
      <c r="F2" s="35"/>
    </row>
    <row r="3" spans="2:13" x14ac:dyDescent="0.25">
      <c r="I3" s="120" t="s">
        <v>117</v>
      </c>
      <c r="J3" s="120"/>
    </row>
    <row r="4" spans="2:13" x14ac:dyDescent="0.25">
      <c r="B4" s="33" t="s">
        <v>1</v>
      </c>
      <c r="C4" s="33" t="s">
        <v>68</v>
      </c>
      <c r="D4" s="33" t="str">
        <f>CONCATENATE("Efforts (",Summary!E8,")")</f>
        <v>Efforts (Days)</v>
      </c>
      <c r="E4" s="33" t="s">
        <v>82</v>
      </c>
      <c r="G4" s="33" t="s">
        <v>118</v>
      </c>
      <c r="H4" s="33" t="s">
        <v>55</v>
      </c>
      <c r="I4" s="33" t="s">
        <v>106</v>
      </c>
      <c r="J4" s="33" t="s">
        <v>108</v>
      </c>
    </row>
    <row r="5" spans="2:13" x14ac:dyDescent="0.25">
      <c r="B5" s="1">
        <v>1</v>
      </c>
      <c r="C5" s="1" t="s">
        <v>69</v>
      </c>
      <c r="D5" s="38" t="e">
        <f>INT($D$7*E5)</f>
        <v>#N/A</v>
      </c>
      <c r="E5" s="31">
        <v>0.09</v>
      </c>
      <c r="G5" s="38">
        <f>SUM(H5:J5)</f>
        <v>0</v>
      </c>
      <c r="H5" s="1">
        <v>0</v>
      </c>
      <c r="I5" s="1">
        <v>0</v>
      </c>
      <c r="J5" s="1">
        <v>0</v>
      </c>
    </row>
    <row r="6" spans="2:13" x14ac:dyDescent="0.25">
      <c r="B6" s="1">
        <v>2</v>
      </c>
      <c r="C6" s="1" t="s">
        <v>70</v>
      </c>
      <c r="D6" s="38" t="e">
        <f>INT($D$7*E6)</f>
        <v>#N/A</v>
      </c>
      <c r="E6" s="31">
        <v>0.13</v>
      </c>
      <c r="G6" s="38">
        <f t="shared" ref="G6:G13" si="0">SUM(H6:J6)</f>
        <v>0</v>
      </c>
      <c r="H6" s="1">
        <v>0</v>
      </c>
      <c r="I6" s="1">
        <v>0</v>
      </c>
      <c r="J6" s="1">
        <v>0</v>
      </c>
    </row>
    <row r="7" spans="2:13" x14ac:dyDescent="0.25">
      <c r="B7" s="1">
        <v>3</v>
      </c>
      <c r="C7" s="1" t="s">
        <v>78</v>
      </c>
      <c r="D7" s="38" t="e">
        <f>SUM('Detailed Dev Efforts'!F6:F501)</f>
        <v>#N/A</v>
      </c>
      <c r="E7" s="31">
        <v>0.4</v>
      </c>
      <c r="G7" s="38">
        <f t="shared" si="0"/>
        <v>0</v>
      </c>
      <c r="H7" s="1">
        <v>0</v>
      </c>
      <c r="I7" s="1">
        <v>0</v>
      </c>
      <c r="J7" s="1">
        <v>0</v>
      </c>
    </row>
    <row r="8" spans="2:13" x14ac:dyDescent="0.25">
      <c r="B8" s="1">
        <v>4</v>
      </c>
      <c r="C8" s="1" t="s">
        <v>71</v>
      </c>
      <c r="D8" s="38" t="e">
        <f>INT($D$7*E8)</f>
        <v>#N/A</v>
      </c>
      <c r="E8" s="31">
        <v>0.15</v>
      </c>
      <c r="G8" s="38">
        <f t="shared" si="0"/>
        <v>0</v>
      </c>
      <c r="H8" s="1">
        <v>0</v>
      </c>
      <c r="I8" s="1">
        <v>0</v>
      </c>
      <c r="J8" s="1">
        <v>0</v>
      </c>
    </row>
    <row r="9" spans="2:13" x14ac:dyDescent="0.25">
      <c r="B9" s="1">
        <v>5</v>
      </c>
      <c r="C9" s="1" t="s">
        <v>63</v>
      </c>
      <c r="D9" s="38" t="e">
        <f>INT($D$7*E9)</f>
        <v>#N/A</v>
      </c>
      <c r="E9" s="31">
        <v>0.09</v>
      </c>
      <c r="G9" s="38">
        <f t="shared" si="0"/>
        <v>0</v>
      </c>
      <c r="H9" s="1">
        <v>0</v>
      </c>
      <c r="I9" s="1">
        <v>0</v>
      </c>
      <c r="J9" s="1">
        <v>0</v>
      </c>
    </row>
    <row r="10" spans="2:13" x14ac:dyDescent="0.25">
      <c r="B10" s="1">
        <v>6</v>
      </c>
      <c r="C10" s="1" t="s">
        <v>72</v>
      </c>
      <c r="D10" s="38" t="e">
        <f>INT($D$7*E10)</f>
        <v>#N/A</v>
      </c>
      <c r="E10" s="31">
        <v>0.04</v>
      </c>
      <c r="G10" s="38">
        <f t="shared" si="0"/>
        <v>0</v>
      </c>
      <c r="H10" s="1">
        <v>0</v>
      </c>
      <c r="I10" s="1">
        <v>0</v>
      </c>
      <c r="J10" s="1">
        <v>0</v>
      </c>
    </row>
    <row r="11" spans="2:13" x14ac:dyDescent="0.25">
      <c r="B11" s="1">
        <v>7</v>
      </c>
      <c r="C11" s="1" t="s">
        <v>41</v>
      </c>
      <c r="D11" s="38" t="e">
        <f>INT($D$7*E11)</f>
        <v>#N/A</v>
      </c>
      <c r="E11" s="31">
        <v>0.05</v>
      </c>
      <c r="G11" s="38">
        <f t="shared" si="0"/>
        <v>0</v>
      </c>
      <c r="H11" s="1">
        <v>0</v>
      </c>
      <c r="I11" s="1">
        <v>0</v>
      </c>
      <c r="J11" s="1">
        <v>0</v>
      </c>
      <c r="M11" s="57"/>
    </row>
    <row r="12" spans="2:13" x14ac:dyDescent="0.25">
      <c r="B12" s="1">
        <v>8</v>
      </c>
      <c r="C12" s="1" t="s">
        <v>73</v>
      </c>
      <c r="D12" s="38" t="e">
        <f>INT($D$7*E12)</f>
        <v>#N/A</v>
      </c>
      <c r="E12" s="31">
        <v>0.05</v>
      </c>
      <c r="G12" s="38">
        <f t="shared" si="0"/>
        <v>0</v>
      </c>
      <c r="H12" s="1">
        <v>0</v>
      </c>
      <c r="I12" s="1">
        <v>0</v>
      </c>
      <c r="J12" s="1">
        <v>0</v>
      </c>
    </row>
    <row r="13" spans="2:13" x14ac:dyDescent="0.25">
      <c r="B13" s="1"/>
      <c r="C13" s="2" t="s">
        <v>81</v>
      </c>
      <c r="D13" s="39" t="e">
        <f>SUM(D5:D12)</f>
        <v>#N/A</v>
      </c>
      <c r="E13" s="32">
        <f>SUM(E5:E12)</f>
        <v>1</v>
      </c>
      <c r="G13" s="39">
        <f t="shared" si="0"/>
        <v>0</v>
      </c>
      <c r="H13" s="39">
        <f>SUM(H5:H12)</f>
        <v>0</v>
      </c>
      <c r="I13" s="39">
        <f>SUM(I5:I12)</f>
        <v>0</v>
      </c>
      <c r="J13" s="39">
        <f>SUM(J5:J12)</f>
        <v>0</v>
      </c>
    </row>
    <row r="14" spans="2:13" x14ac:dyDescent="0.25">
      <c r="B14" s="1">
        <v>9</v>
      </c>
      <c r="C14" s="1" t="s">
        <v>79</v>
      </c>
      <c r="D14" s="38" t="e">
        <f>INT(D13*E14)</f>
        <v>#N/A</v>
      </c>
      <c r="E14" s="31">
        <v>0.15</v>
      </c>
      <c r="G14" s="38">
        <f t="shared" ref="G14:G21" si="1">SUM(H14:J14)</f>
        <v>0</v>
      </c>
      <c r="H14" s="1">
        <v>0</v>
      </c>
      <c r="I14" s="1">
        <v>0</v>
      </c>
      <c r="J14" s="1">
        <v>0</v>
      </c>
      <c r="L14" s="57" t="s">
        <v>30</v>
      </c>
    </row>
    <row r="15" spans="2:13" x14ac:dyDescent="0.25">
      <c r="B15" s="1">
        <v>10</v>
      </c>
      <c r="C15" s="1" t="s">
        <v>80</v>
      </c>
      <c r="D15" s="38" t="e">
        <f>INT(SUM(D13+D14)*E15)</f>
        <v>#N/A</v>
      </c>
      <c r="E15" s="31">
        <v>0.15</v>
      </c>
      <c r="G15" s="38">
        <f t="shared" si="1"/>
        <v>0</v>
      </c>
      <c r="H15" s="1">
        <v>0</v>
      </c>
      <c r="I15" s="1">
        <v>0</v>
      </c>
      <c r="J15" s="1">
        <v>0</v>
      </c>
      <c r="L15" s="57" t="s">
        <v>30</v>
      </c>
    </row>
    <row r="16" spans="2:13" x14ac:dyDescent="0.25">
      <c r="B16" s="1"/>
      <c r="C16" s="2" t="s">
        <v>116</v>
      </c>
      <c r="D16" s="38" t="e">
        <f>SUM(D14:D15)</f>
        <v>#N/A</v>
      </c>
      <c r="E16" s="31"/>
      <c r="G16" s="39">
        <f>SUM(G14:G15)</f>
        <v>0</v>
      </c>
      <c r="H16" s="39">
        <f>SUM(H14:H15)</f>
        <v>0</v>
      </c>
      <c r="I16" s="39">
        <f>SUM(I14:I15)</f>
        <v>0</v>
      </c>
      <c r="J16" s="39">
        <f>SUM(J14:J15)</f>
        <v>0</v>
      </c>
    </row>
    <row r="17" spans="2:10" x14ac:dyDescent="0.25">
      <c r="B17" s="1">
        <v>11</v>
      </c>
      <c r="C17" s="1" t="s">
        <v>74</v>
      </c>
      <c r="D17" s="1"/>
      <c r="E17" s="31"/>
      <c r="G17" s="38">
        <f t="shared" si="1"/>
        <v>0</v>
      </c>
      <c r="H17" s="1">
        <v>0</v>
      </c>
      <c r="I17" s="1">
        <v>0</v>
      </c>
      <c r="J17" s="1">
        <v>0</v>
      </c>
    </row>
    <row r="18" spans="2:10" x14ac:dyDescent="0.25">
      <c r="B18" s="1">
        <v>12</v>
      </c>
      <c r="C18" s="1" t="s">
        <v>85</v>
      </c>
      <c r="D18" s="1"/>
      <c r="E18" s="1"/>
      <c r="G18" s="38">
        <f t="shared" si="1"/>
        <v>0</v>
      </c>
      <c r="H18" s="1">
        <v>0</v>
      </c>
      <c r="I18" s="1">
        <v>0</v>
      </c>
      <c r="J18" s="1">
        <v>0</v>
      </c>
    </row>
    <row r="19" spans="2:10" x14ac:dyDescent="0.25">
      <c r="B19" s="1">
        <v>13</v>
      </c>
      <c r="C19" s="1" t="s">
        <v>86</v>
      </c>
      <c r="D19" s="1"/>
      <c r="E19" s="1"/>
      <c r="G19" s="38">
        <f t="shared" si="1"/>
        <v>0</v>
      </c>
      <c r="H19" s="1">
        <v>0</v>
      </c>
      <c r="I19" s="1" t="s">
        <v>30</v>
      </c>
      <c r="J19" s="1">
        <v>0</v>
      </c>
    </row>
    <row r="20" spans="2:10" x14ac:dyDescent="0.25">
      <c r="B20" s="1">
        <v>14</v>
      </c>
      <c r="C20" s="1" t="s">
        <v>87</v>
      </c>
      <c r="D20" s="1"/>
      <c r="E20" s="1"/>
      <c r="G20" s="38">
        <f t="shared" si="1"/>
        <v>0</v>
      </c>
      <c r="H20" s="1">
        <v>0</v>
      </c>
      <c r="I20" s="1">
        <v>0</v>
      </c>
      <c r="J20" s="1">
        <v>0</v>
      </c>
    </row>
    <row r="21" spans="2:10" x14ac:dyDescent="0.25">
      <c r="B21" s="1"/>
      <c r="C21" s="2" t="s">
        <v>84</v>
      </c>
      <c r="D21" s="2">
        <f>SUM(D17:D20)</f>
        <v>0</v>
      </c>
      <c r="E21" s="1"/>
      <c r="G21" s="38">
        <f t="shared" si="1"/>
        <v>0</v>
      </c>
      <c r="H21" s="1">
        <f>SUM(H17:H20)</f>
        <v>0</v>
      </c>
      <c r="I21" s="1">
        <f>SUM(I17:I20)</f>
        <v>0</v>
      </c>
      <c r="J21" s="1">
        <f>SUM(J17:J20)</f>
        <v>0</v>
      </c>
    </row>
    <row r="22" spans="2:10" x14ac:dyDescent="0.25">
      <c r="B22" s="1"/>
      <c r="C22" s="2" t="s">
        <v>43</v>
      </c>
      <c r="D22" s="2" t="e">
        <f>SUM(D13,D16,D21)</f>
        <v>#N/A</v>
      </c>
      <c r="E22" s="2"/>
      <c r="G22" s="38">
        <f>SUM(G13+G16+G21)</f>
        <v>0</v>
      </c>
      <c r="H22" s="39">
        <f>SUM(H13+H16+H21)</f>
        <v>0</v>
      </c>
      <c r="I22" s="39">
        <f>SUM(I13+I16+I21)</f>
        <v>0</v>
      </c>
      <c r="J22" s="39">
        <f>SUM(J13+J16+J21)</f>
        <v>0</v>
      </c>
    </row>
  </sheetData>
  <mergeCells count="1">
    <mergeCell ref="I3:J3"/>
  </mergeCells>
  <conditionalFormatting sqref="G5:G21">
    <cfRule type="expression" dxfId="3" priority="8">
      <formula>G5&gt;D5</formula>
    </cfRule>
  </conditionalFormatting>
  <conditionalFormatting sqref="E13">
    <cfRule type="expression" dxfId="2" priority="6">
      <formula>$E$13&lt;&gt;100%</formula>
    </cfRule>
  </conditionalFormatting>
  <conditionalFormatting sqref="J16">
    <cfRule type="expression" dxfId="1" priority="3">
      <formula>J16&gt;G16</formula>
    </cfRule>
  </conditionalFormatting>
  <conditionalFormatting sqref="G22">
    <cfRule type="expression" dxfId="0" priority="1">
      <formula>G22&gt;D22</formula>
    </cfRule>
  </conditionalFormatting>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 r:id="rId2"/>
  <legacyDrawingHF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dimension ref="A1:FD26"/>
  <sheetViews>
    <sheetView showGridLines="0" zoomScale="90" zoomScaleNormal="90" workbookViewId="0">
      <selection activeCell="B6" sqref="B6"/>
    </sheetView>
  </sheetViews>
  <sheetFormatPr defaultRowHeight="15" x14ac:dyDescent="0.25"/>
  <cols>
    <col min="2" max="2" width="23.85546875" bestFit="1" customWidth="1"/>
    <col min="3" max="3" width="20.7109375" bestFit="1" customWidth="1"/>
    <col min="4" max="4" width="26.42578125" bestFit="1" customWidth="1"/>
    <col min="5" max="5" width="21.140625" bestFit="1" customWidth="1"/>
    <col min="6" max="6" width="17.42578125" bestFit="1" customWidth="1"/>
    <col min="7" max="7" width="11.85546875" customWidth="1"/>
    <col min="8" max="8" width="18.28515625" bestFit="1" customWidth="1"/>
    <col min="9" max="9" width="14.85546875" bestFit="1" customWidth="1"/>
    <col min="10" max="10" width="15.5703125" customWidth="1"/>
    <col min="11" max="11" width="20.5703125" bestFit="1" customWidth="1"/>
    <col min="12" max="12" width="20.7109375" bestFit="1" customWidth="1"/>
    <col min="13" max="13" width="20" bestFit="1" customWidth="1"/>
    <col min="14" max="14" width="13.85546875" customWidth="1"/>
    <col min="15" max="15" width="19.85546875" bestFit="1" customWidth="1"/>
    <col min="16" max="20" width="12.7109375" customWidth="1"/>
  </cols>
  <sheetData>
    <row r="1" spans="1:160" x14ac:dyDescent="0.25">
      <c r="C1" s="36" t="s">
        <v>88</v>
      </c>
      <c r="D1" s="35" t="str">
        <f>Summary!$E$2</f>
        <v>&lt;Client/Prospect Name&gt;</v>
      </c>
    </row>
    <row r="2" spans="1:160" x14ac:dyDescent="0.25">
      <c r="C2" s="36" t="s">
        <v>91</v>
      </c>
      <c r="D2" s="35" t="str">
        <f>Summary!$E$3</f>
        <v>&lt;Project/Requirement &gt;</v>
      </c>
    </row>
    <row r="4" spans="1:160" s="11" customFormat="1" x14ac:dyDescent="0.25">
      <c r="A4" s="9"/>
      <c r="B4" s="9"/>
      <c r="C4" s="45" t="s">
        <v>68</v>
      </c>
      <c r="D4" s="45" t="s">
        <v>69</v>
      </c>
      <c r="E4" s="45" t="s">
        <v>70</v>
      </c>
      <c r="F4" s="45" t="s">
        <v>78</v>
      </c>
      <c r="G4" s="45" t="s">
        <v>71</v>
      </c>
      <c r="H4" s="45" t="s">
        <v>63</v>
      </c>
      <c r="I4" s="45" t="s">
        <v>72</v>
      </c>
      <c r="J4" s="45" t="s">
        <v>41</v>
      </c>
      <c r="K4" s="45" t="s">
        <v>73</v>
      </c>
      <c r="L4" s="45"/>
      <c r="M4" s="45" t="s">
        <v>79</v>
      </c>
      <c r="N4" s="45" t="s">
        <v>80</v>
      </c>
      <c r="O4" s="45"/>
      <c r="P4" s="45" t="s">
        <v>74</v>
      </c>
      <c r="Q4" s="45" t="s">
        <v>85</v>
      </c>
      <c r="R4" s="45" t="s">
        <v>86</v>
      </c>
      <c r="S4" s="45" t="s">
        <v>87</v>
      </c>
      <c r="T4" s="45"/>
    </row>
    <row r="5" spans="1:160" s="11" customFormat="1" x14ac:dyDescent="0.25">
      <c r="A5" s="9"/>
      <c r="B5" s="9"/>
      <c r="C5" s="70" t="s">
        <v>55</v>
      </c>
      <c r="D5" s="96">
        <v>0</v>
      </c>
      <c r="E5" s="96">
        <v>0</v>
      </c>
      <c r="F5" s="97">
        <v>0</v>
      </c>
      <c r="G5" s="96">
        <v>0</v>
      </c>
      <c r="H5" s="96">
        <v>0</v>
      </c>
      <c r="I5" s="96">
        <v>0</v>
      </c>
      <c r="J5" s="96">
        <v>0</v>
      </c>
      <c r="K5" s="97">
        <v>0</v>
      </c>
      <c r="L5" s="97">
        <v>0</v>
      </c>
      <c r="M5" s="97">
        <v>0</v>
      </c>
      <c r="N5" s="97">
        <v>0</v>
      </c>
      <c r="O5" s="97">
        <v>0</v>
      </c>
      <c r="P5" s="97">
        <v>0</v>
      </c>
      <c r="Q5" s="97">
        <v>0</v>
      </c>
      <c r="R5" s="97">
        <v>0</v>
      </c>
      <c r="S5" s="71">
        <v>0</v>
      </c>
      <c r="T5" s="71">
        <v>0</v>
      </c>
    </row>
    <row r="6" spans="1:160" s="11" customFormat="1" x14ac:dyDescent="0.25">
      <c r="A6" s="9"/>
      <c r="B6" s="9"/>
      <c r="C6" s="70" t="s">
        <v>106</v>
      </c>
      <c r="D6" s="97">
        <v>0</v>
      </c>
      <c r="E6" s="97">
        <v>0</v>
      </c>
      <c r="F6" s="97">
        <v>0</v>
      </c>
      <c r="G6" s="96">
        <v>0</v>
      </c>
      <c r="H6" s="97">
        <v>0</v>
      </c>
      <c r="I6" s="97">
        <v>0</v>
      </c>
      <c r="J6" s="97">
        <v>0</v>
      </c>
      <c r="K6" s="97">
        <v>0</v>
      </c>
      <c r="L6" s="97">
        <v>0</v>
      </c>
      <c r="M6" s="97">
        <v>0</v>
      </c>
      <c r="N6" s="97">
        <v>0</v>
      </c>
      <c r="O6" s="97">
        <v>0</v>
      </c>
      <c r="P6" s="97">
        <v>0</v>
      </c>
      <c r="Q6" s="97">
        <v>0</v>
      </c>
      <c r="R6" s="97" t="s">
        <v>30</v>
      </c>
      <c r="S6" s="71">
        <v>0</v>
      </c>
      <c r="T6" s="71">
        <v>0</v>
      </c>
    </row>
    <row r="7" spans="1:160" s="11" customFormat="1" x14ac:dyDescent="0.25">
      <c r="A7" s="9"/>
      <c r="B7" s="54"/>
      <c r="C7" s="70" t="s">
        <v>108</v>
      </c>
      <c r="D7" s="97">
        <v>0</v>
      </c>
      <c r="E7" s="97">
        <v>0</v>
      </c>
      <c r="F7" s="97">
        <v>0</v>
      </c>
      <c r="G7" s="97">
        <v>0</v>
      </c>
      <c r="H7" s="97">
        <v>0</v>
      </c>
      <c r="I7" s="97">
        <v>0</v>
      </c>
      <c r="J7" s="97">
        <v>0</v>
      </c>
      <c r="K7" s="97">
        <v>0</v>
      </c>
      <c r="L7" s="97">
        <v>0</v>
      </c>
      <c r="M7" s="97">
        <v>0</v>
      </c>
      <c r="N7" s="97">
        <v>0</v>
      </c>
      <c r="O7" s="97">
        <v>0</v>
      </c>
      <c r="P7" s="97">
        <v>0</v>
      </c>
      <c r="Q7" s="97">
        <v>0</v>
      </c>
      <c r="R7" s="97">
        <v>0</v>
      </c>
      <c r="S7" s="71">
        <v>0</v>
      </c>
      <c r="T7" s="71">
        <v>0</v>
      </c>
    </row>
    <row r="8" spans="1:160" s="11" customFormat="1" x14ac:dyDescent="0.25">
      <c r="A8" s="9"/>
      <c r="B8" s="54"/>
      <c r="C8" s="20"/>
      <c r="D8" s="62"/>
      <c r="E8" s="62"/>
      <c r="F8" s="62"/>
      <c r="G8" s="62"/>
      <c r="H8" s="62"/>
      <c r="I8" s="62"/>
      <c r="J8" s="62"/>
      <c r="K8" s="62"/>
      <c r="L8" s="62"/>
      <c r="M8" s="62"/>
      <c r="N8" s="62"/>
      <c r="O8" s="62"/>
      <c r="P8" s="62"/>
      <c r="Q8" s="62"/>
      <c r="R8" s="62"/>
      <c r="S8" s="62"/>
      <c r="T8" s="62"/>
    </row>
    <row r="9" spans="1:160" x14ac:dyDescent="0.25">
      <c r="A9" s="34"/>
      <c r="T9" s="15"/>
    </row>
    <row r="10" spans="1:160" x14ac:dyDescent="0.25">
      <c r="B10" s="3" t="s">
        <v>155</v>
      </c>
      <c r="C10" s="1">
        <v>6</v>
      </c>
      <c r="D10" t="s">
        <v>83</v>
      </c>
      <c r="H10" t="s">
        <v>256</v>
      </c>
      <c r="I10" s="3">
        <f ca="1">SUBTOTAL(9,OFFSET(E13,0,C10):OFFSET(E13,150,C10))</f>
        <v>18</v>
      </c>
    </row>
    <row r="12" spans="1:160" x14ac:dyDescent="0.25">
      <c r="B12" s="45" t="s">
        <v>68</v>
      </c>
      <c r="C12" s="45" t="s">
        <v>49</v>
      </c>
      <c r="D12" s="45" t="s">
        <v>47</v>
      </c>
      <c r="E12" s="45" t="s">
        <v>112</v>
      </c>
      <c r="F12" s="45" t="s">
        <v>113</v>
      </c>
      <c r="G12" s="45" t="s">
        <v>114</v>
      </c>
      <c r="H12" s="45" t="s">
        <v>115</v>
      </c>
      <c r="I12" s="45" t="s">
        <v>110</v>
      </c>
      <c r="J12" s="45" t="s">
        <v>111</v>
      </c>
      <c r="K12" s="45" t="s">
        <v>43</v>
      </c>
      <c r="L12" s="63"/>
      <c r="M12" s="45"/>
      <c r="N12" s="4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row>
    <row r="13" spans="1:160" hidden="1" x14ac:dyDescent="0.25">
      <c r="B13" s="55" t="s">
        <v>69</v>
      </c>
      <c r="C13" s="1" t="s">
        <v>55</v>
      </c>
      <c r="D13" s="8" t="s">
        <v>120</v>
      </c>
      <c r="E13" s="1">
        <v>2</v>
      </c>
      <c r="F13" s="1">
        <v>6</v>
      </c>
      <c r="G13" s="1">
        <v>6</v>
      </c>
      <c r="H13" s="1">
        <v>6</v>
      </c>
      <c r="I13" s="1">
        <v>1</v>
      </c>
      <c r="J13" s="1">
        <v>1</v>
      </c>
      <c r="K13" s="1">
        <f>SUM(E13:J13)</f>
        <v>22</v>
      </c>
      <c r="L13" s="56"/>
      <c r="M13" s="1"/>
      <c r="N13" s="1"/>
      <c r="O13" s="15"/>
      <c r="P13" s="15"/>
      <c r="Q13" s="15"/>
      <c r="R13" s="15"/>
      <c r="S13" s="15"/>
      <c r="T13" s="15"/>
      <c r="U13" s="15"/>
      <c r="V13" s="15"/>
      <c r="W13" s="15"/>
      <c r="X13" s="15"/>
      <c r="Y13" s="15"/>
      <c r="Z13" s="15"/>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c r="BA13" s="15"/>
      <c r="BB13" s="15"/>
      <c r="BC13" s="15"/>
      <c r="BD13" s="15"/>
      <c r="BE13" s="15"/>
      <c r="BF13" s="15"/>
      <c r="BG13" s="15"/>
      <c r="BH13" s="15"/>
      <c r="BI13" s="15"/>
      <c r="BJ13" s="15"/>
      <c r="BK13" s="15"/>
      <c r="BL13" s="15"/>
      <c r="BM13" s="15"/>
      <c r="BN13" s="15"/>
      <c r="BO13" s="15"/>
      <c r="BP13" s="15"/>
      <c r="BQ13" s="15"/>
      <c r="BR13" s="15"/>
      <c r="BS13" s="15"/>
      <c r="BT13" s="15"/>
      <c r="BU13" s="15"/>
      <c r="BV13" s="15"/>
      <c r="BW13" s="15"/>
      <c r="BX13" s="15"/>
      <c r="BY13" s="15"/>
      <c r="BZ13" s="15"/>
      <c r="CA13" s="15"/>
      <c r="CB13" s="15"/>
      <c r="CC13" s="15"/>
      <c r="CD13" s="15"/>
      <c r="CE13" s="15"/>
      <c r="CF13" s="15"/>
      <c r="CG13" s="15"/>
      <c r="CH13" s="15"/>
      <c r="CI13" s="15"/>
      <c r="CJ13" s="15"/>
      <c r="CK13" s="15"/>
      <c r="CL13" s="15"/>
      <c r="CM13" s="15"/>
      <c r="CN13" s="15"/>
      <c r="CO13" s="15"/>
      <c r="CP13" s="15"/>
      <c r="CQ13" s="15"/>
      <c r="CR13" s="15"/>
      <c r="CS13" s="15"/>
      <c r="CT13" s="15"/>
      <c r="CU13" s="15"/>
      <c r="CV13" s="15"/>
      <c r="CW13" s="15"/>
      <c r="CX13" s="15"/>
      <c r="CY13" s="15"/>
      <c r="CZ13" s="15"/>
      <c r="DA13" s="15"/>
      <c r="DB13" s="15"/>
      <c r="DC13" s="15"/>
      <c r="DD13" s="15"/>
      <c r="DE13" s="15"/>
      <c r="DF13" s="15"/>
      <c r="DG13" s="15"/>
      <c r="DH13" s="15"/>
      <c r="DI13" s="15"/>
      <c r="DJ13" s="15"/>
      <c r="DK13" s="15"/>
      <c r="DL13" s="15"/>
      <c r="DM13" s="15"/>
      <c r="DN13" s="15"/>
      <c r="DO13" s="15"/>
      <c r="DP13" s="15"/>
      <c r="DQ13" s="15"/>
      <c r="DR13" s="15"/>
      <c r="DS13" s="15"/>
      <c r="DT13" s="15"/>
      <c r="DU13" s="15"/>
      <c r="DV13" s="15"/>
      <c r="DW13" s="15"/>
      <c r="DX13" s="15"/>
      <c r="DY13" s="15"/>
      <c r="DZ13" s="15"/>
      <c r="EA13" s="15"/>
      <c r="EB13" s="15"/>
      <c r="EC13" s="15"/>
      <c r="ED13" s="15"/>
      <c r="EE13" s="15"/>
      <c r="EF13" s="15"/>
      <c r="EG13" s="15"/>
      <c r="EH13" s="15"/>
      <c r="EI13" s="15"/>
      <c r="EJ13" s="15"/>
      <c r="EK13" s="15"/>
      <c r="EL13" s="15"/>
      <c r="EM13" s="15"/>
      <c r="EN13" s="15"/>
      <c r="EO13" s="15"/>
      <c r="EP13" s="15"/>
      <c r="EQ13" s="15"/>
      <c r="ER13" s="15"/>
      <c r="ES13" s="15"/>
      <c r="ET13" s="15"/>
      <c r="EU13" s="15"/>
      <c r="EV13" s="15"/>
      <c r="EW13" s="15"/>
      <c r="EX13" s="15"/>
      <c r="EY13" s="15"/>
      <c r="EZ13" s="15"/>
      <c r="FA13" s="15"/>
      <c r="FB13" s="15"/>
      <c r="FC13" s="15"/>
      <c r="FD13" s="15"/>
    </row>
    <row r="14" spans="1:160" hidden="1" x14ac:dyDescent="0.25">
      <c r="B14" s="55" t="s">
        <v>70</v>
      </c>
      <c r="C14" s="1" t="s">
        <v>55</v>
      </c>
      <c r="D14" s="8" t="s">
        <v>121</v>
      </c>
      <c r="E14" s="1"/>
      <c r="F14" s="1">
        <v>4</v>
      </c>
      <c r="G14" s="1">
        <v>4</v>
      </c>
      <c r="H14" s="1">
        <v>4</v>
      </c>
      <c r="I14" s="1"/>
      <c r="J14" s="1"/>
      <c r="K14" s="1">
        <f>SUM(E14:J14)</f>
        <v>12</v>
      </c>
      <c r="L14" s="56"/>
      <c r="M14" s="1"/>
      <c r="N14" s="1"/>
    </row>
    <row r="15" spans="1:160" hidden="1" x14ac:dyDescent="0.25">
      <c r="B15" s="55" t="s">
        <v>78</v>
      </c>
      <c r="C15" s="1" t="s">
        <v>106</v>
      </c>
      <c r="D15" s="8" t="s">
        <v>123</v>
      </c>
      <c r="E15" s="1"/>
      <c r="F15" s="1"/>
      <c r="G15" s="1"/>
      <c r="H15" s="1"/>
      <c r="I15" s="1"/>
      <c r="J15" s="1"/>
      <c r="K15" s="1">
        <f>SUM(E15:J15)</f>
        <v>0</v>
      </c>
      <c r="L15" s="56"/>
      <c r="M15" s="1"/>
      <c r="N15" s="1"/>
    </row>
    <row r="16" spans="1:160" hidden="1" x14ac:dyDescent="0.25">
      <c r="B16" s="55" t="s">
        <v>71</v>
      </c>
      <c r="C16" s="1" t="s">
        <v>106</v>
      </c>
      <c r="D16" s="8" t="s">
        <v>122</v>
      </c>
      <c r="E16" s="1">
        <v>3</v>
      </c>
      <c r="F16" s="1"/>
      <c r="G16" s="1"/>
      <c r="H16" s="1"/>
      <c r="I16" s="1"/>
      <c r="J16" s="1"/>
      <c r="K16" s="1">
        <f>SUM(E16:J16)</f>
        <v>3</v>
      </c>
      <c r="L16" s="56"/>
      <c r="M16" s="1"/>
      <c r="N16" s="1"/>
    </row>
    <row r="17" spans="2:14" hidden="1" x14ac:dyDescent="0.25">
      <c r="B17" s="55" t="s">
        <v>71</v>
      </c>
      <c r="C17" s="1" t="s">
        <v>55</v>
      </c>
      <c r="D17" s="8" t="s">
        <v>120</v>
      </c>
      <c r="E17" s="1"/>
      <c r="F17" s="1">
        <v>3</v>
      </c>
      <c r="G17" s="1">
        <v>3</v>
      </c>
      <c r="H17" s="1">
        <v>3</v>
      </c>
      <c r="I17" s="1">
        <v>1</v>
      </c>
      <c r="J17" s="1">
        <v>1</v>
      </c>
      <c r="K17" s="1">
        <f t="shared" ref="K17:K23" si="0">SUM(E17:J17)</f>
        <v>11</v>
      </c>
      <c r="L17" s="56"/>
      <c r="M17" s="1"/>
      <c r="N17" s="1"/>
    </row>
    <row r="18" spans="2:14" x14ac:dyDescent="0.25">
      <c r="B18" s="55" t="s">
        <v>63</v>
      </c>
      <c r="C18" s="1" t="s">
        <v>55</v>
      </c>
      <c r="D18" s="8" t="s">
        <v>120</v>
      </c>
      <c r="E18" s="1">
        <v>3</v>
      </c>
      <c r="F18" s="1">
        <v>3</v>
      </c>
      <c r="G18" s="1">
        <v>3</v>
      </c>
      <c r="H18" s="1">
        <v>3</v>
      </c>
      <c r="I18" s="1"/>
      <c r="J18" s="1">
        <v>1</v>
      </c>
      <c r="K18" s="1">
        <f t="shared" si="0"/>
        <v>13</v>
      </c>
      <c r="L18" s="56"/>
      <c r="M18" s="1"/>
      <c r="N18" s="1"/>
    </row>
    <row r="19" spans="2:14" x14ac:dyDescent="0.25">
      <c r="B19" s="55" t="s">
        <v>63</v>
      </c>
      <c r="C19" s="1" t="s">
        <v>55</v>
      </c>
      <c r="D19" s="8" t="s">
        <v>120</v>
      </c>
      <c r="E19" s="1">
        <v>3</v>
      </c>
      <c r="F19" s="1"/>
      <c r="G19" s="1"/>
      <c r="H19" s="1"/>
      <c r="I19" s="1"/>
      <c r="J19" s="1">
        <v>2</v>
      </c>
      <c r="K19" s="1">
        <f t="shared" si="0"/>
        <v>5</v>
      </c>
      <c r="L19" s="56"/>
      <c r="M19" s="1"/>
      <c r="N19" s="1"/>
    </row>
    <row r="20" spans="2:14" hidden="1" x14ac:dyDescent="0.25">
      <c r="B20" s="55" t="s">
        <v>72</v>
      </c>
      <c r="C20" s="1" t="s">
        <v>55</v>
      </c>
      <c r="D20" s="8" t="s">
        <v>120</v>
      </c>
      <c r="E20" s="1">
        <v>3</v>
      </c>
      <c r="F20" s="1"/>
      <c r="G20" s="1"/>
      <c r="H20" s="1"/>
      <c r="I20" s="1"/>
      <c r="J20" s="1"/>
      <c r="K20" s="1">
        <f t="shared" si="0"/>
        <v>3</v>
      </c>
      <c r="L20" s="56"/>
      <c r="M20" s="1"/>
      <c r="N20" s="1"/>
    </row>
    <row r="21" spans="2:14" hidden="1" x14ac:dyDescent="0.25">
      <c r="B21" s="55" t="s">
        <v>72</v>
      </c>
      <c r="C21" s="1" t="s">
        <v>55</v>
      </c>
      <c r="D21" s="8" t="s">
        <v>120</v>
      </c>
      <c r="E21" s="1">
        <v>4</v>
      </c>
      <c r="F21" s="1"/>
      <c r="G21" s="1"/>
      <c r="H21" s="1"/>
      <c r="I21" s="1"/>
      <c r="J21" s="1"/>
      <c r="K21" s="1">
        <f t="shared" si="0"/>
        <v>4</v>
      </c>
      <c r="L21" s="56"/>
      <c r="M21" s="1"/>
      <c r="N21" s="1"/>
    </row>
    <row r="22" spans="2:14" hidden="1" x14ac:dyDescent="0.25">
      <c r="B22" s="55" t="s">
        <v>41</v>
      </c>
      <c r="C22" s="1" t="s">
        <v>55</v>
      </c>
      <c r="D22" s="8" t="s">
        <v>120</v>
      </c>
      <c r="E22" s="1">
        <v>5</v>
      </c>
      <c r="F22" s="1"/>
      <c r="G22" s="1"/>
      <c r="H22" s="1"/>
      <c r="I22" s="1"/>
      <c r="J22" s="1"/>
      <c r="K22" s="1">
        <f t="shared" si="0"/>
        <v>5</v>
      </c>
      <c r="L22" s="56"/>
      <c r="M22" s="1"/>
      <c r="N22" s="1"/>
    </row>
    <row r="23" spans="2:14" hidden="1" x14ac:dyDescent="0.25">
      <c r="B23" s="55" t="s">
        <v>41</v>
      </c>
      <c r="C23" s="1" t="s">
        <v>55</v>
      </c>
      <c r="D23" s="8" t="s">
        <v>120</v>
      </c>
      <c r="E23" s="1">
        <v>5</v>
      </c>
      <c r="F23" s="1">
        <v>6</v>
      </c>
      <c r="G23" s="1">
        <v>6</v>
      </c>
      <c r="H23" s="1">
        <v>6</v>
      </c>
      <c r="I23" s="1"/>
      <c r="J23" s="1"/>
      <c r="K23" s="1">
        <f t="shared" si="0"/>
        <v>23</v>
      </c>
      <c r="L23" s="56"/>
      <c r="M23" s="1"/>
      <c r="N23" s="1"/>
    </row>
    <row r="24" spans="2:14" hidden="1" x14ac:dyDescent="0.25">
      <c r="B24" s="55" t="s">
        <v>71</v>
      </c>
      <c r="C24" s="1" t="s">
        <v>108</v>
      </c>
      <c r="D24" s="8" t="s">
        <v>120</v>
      </c>
      <c r="E24" s="1">
        <v>3</v>
      </c>
      <c r="F24" s="1">
        <v>5</v>
      </c>
      <c r="G24" s="1">
        <v>5</v>
      </c>
      <c r="H24" s="1">
        <v>5</v>
      </c>
      <c r="I24" s="1"/>
      <c r="J24" s="1"/>
      <c r="K24" s="1">
        <f>SUM(E24:J24)</f>
        <v>18</v>
      </c>
      <c r="L24" s="56"/>
      <c r="M24" s="1"/>
      <c r="N24" s="1"/>
    </row>
    <row r="25" spans="2:14" hidden="1" x14ac:dyDescent="0.25">
      <c r="B25" s="55" t="s">
        <v>69</v>
      </c>
      <c r="C25" s="1" t="s">
        <v>108</v>
      </c>
      <c r="D25" s="8" t="s">
        <v>120</v>
      </c>
      <c r="E25" s="1"/>
      <c r="F25" s="1">
        <v>8</v>
      </c>
      <c r="G25" s="1">
        <v>8</v>
      </c>
      <c r="H25" s="1">
        <v>8</v>
      </c>
      <c r="I25" s="1"/>
      <c r="J25" s="1"/>
      <c r="K25" s="1">
        <f>SUM(E25:J25)</f>
        <v>24</v>
      </c>
      <c r="L25" s="56"/>
      <c r="M25" s="1"/>
      <c r="N25" s="1"/>
    </row>
    <row r="26" spans="2:14" hidden="1" x14ac:dyDescent="0.25"/>
  </sheetData>
  <autoFilter ref="B12:M26" xr:uid="{00000000-0009-0000-0000-000007000000}">
    <filterColumn colId="0">
      <filters>
        <filter val="Training"/>
      </filters>
    </filterColumn>
    <filterColumn colId="2">
      <filters>
        <filter val="Java Jr Developer"/>
      </filters>
    </filterColumn>
  </autoFilter>
  <dataValidations count="1">
    <dataValidation type="list" allowBlank="1" showInputMessage="1" showErrorMessage="1" sqref="B13:B25" xr:uid="{00000000-0002-0000-0700-000000000000}">
      <formula1>$D$4:$T$4</formula1>
    </dataValidation>
  </dataValidations>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6" r:id="rId5" name="Button 4">
              <controlPr defaultSize="0" print="0" autoFill="0" autoPict="0" macro="[0]!ResourceLoading">
                <anchor moveWithCells="1" sizeWithCells="1">
                  <from>
                    <xdr:col>5</xdr:col>
                    <xdr:colOff>9525</xdr:colOff>
                    <xdr:row>8</xdr:row>
                    <xdr:rowOff>171450</xdr:rowOff>
                  </from>
                  <to>
                    <xdr:col>6</xdr:col>
                    <xdr:colOff>457200</xdr:colOff>
                    <xdr:row>10</xdr:row>
                    <xdr:rowOff>19050</xdr:rowOff>
                  </to>
                </anchor>
              </controlPr>
            </control>
          </mc:Choice>
        </mc:AlternateContent>
        <mc:AlternateContent xmlns:mc="http://schemas.openxmlformats.org/markup-compatibility/2006">
          <mc:Choice Requires="x14">
            <control shapeId="13317" r:id="rId6" name="Button 5">
              <controlPr defaultSize="0" print="0" autoFill="0" autoPict="0" macro="[0]!RePlan">
                <anchor moveWithCells="1" sizeWithCells="1">
                  <from>
                    <xdr:col>3</xdr:col>
                    <xdr:colOff>1266825</xdr:colOff>
                    <xdr:row>9</xdr:row>
                    <xdr:rowOff>0</xdr:rowOff>
                  </from>
                  <to>
                    <xdr:col>4</xdr:col>
                    <xdr:colOff>1104900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1000000}">
          <x14:formula1>
            <xm:f>Master!$D$9:$D$44</xm:f>
          </x14:formula1>
          <xm:sqref>D13:D25</xm:sqref>
        </x14:dataValidation>
        <x14:dataValidation type="list" allowBlank="1" showInputMessage="1" showErrorMessage="1" xr:uid="{00000000-0002-0000-0700-000002000000}">
          <x14:formula1>
            <xm:f>Master!$F$9:$F$11</xm:f>
          </x14:formula1>
          <xm:sqref>C13:C25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H274"/>
  <sheetViews>
    <sheetView showGridLines="0" zoomScale="80" zoomScaleNormal="80" workbookViewId="0">
      <selection activeCell="B6" sqref="B6"/>
    </sheetView>
  </sheetViews>
  <sheetFormatPr defaultRowHeight="15" x14ac:dyDescent="0.25"/>
  <cols>
    <col min="2" max="2" width="25.5703125" bestFit="1" customWidth="1"/>
    <col min="3" max="3" width="12.140625" customWidth="1"/>
    <col min="4" max="4" width="13" bestFit="1" customWidth="1"/>
    <col min="5" max="5" width="13.140625" bestFit="1" customWidth="1"/>
    <col min="6" max="6" width="12.42578125" bestFit="1" customWidth="1"/>
    <col min="7" max="7" width="15.140625" bestFit="1" customWidth="1"/>
    <col min="8" max="8" width="13.85546875" customWidth="1"/>
  </cols>
  <sheetData>
    <row r="1" spans="1:8" x14ac:dyDescent="0.25">
      <c r="C1" s="36" t="s">
        <v>88</v>
      </c>
      <c r="D1" s="35" t="str">
        <f>Summary!$E$2</f>
        <v>&lt;Client/Prospect Name&gt;</v>
      </c>
      <c r="E1" s="35"/>
    </row>
    <row r="2" spans="1:8" x14ac:dyDescent="0.25">
      <c r="C2" s="36" t="s">
        <v>89</v>
      </c>
      <c r="D2" s="35" t="str">
        <f>Summary!$E$3</f>
        <v>&lt;Project/Requirement &gt;</v>
      </c>
      <c r="E2" s="35"/>
    </row>
    <row r="4" spans="1:8" ht="18.75" x14ac:dyDescent="0.3">
      <c r="A4" s="124" t="s">
        <v>105</v>
      </c>
      <c r="B4" s="124"/>
      <c r="C4" s="124"/>
      <c r="D4" s="124"/>
      <c r="E4" s="124"/>
      <c r="F4" s="124"/>
      <c r="G4" s="124"/>
      <c r="H4" s="124"/>
    </row>
    <row r="5" spans="1:8" ht="15.75" thickBot="1" x14ac:dyDescent="0.3"/>
    <row r="6" spans="1:8" ht="29.25" customHeight="1" x14ac:dyDescent="0.25">
      <c r="A6" s="40" t="s">
        <v>1</v>
      </c>
      <c r="B6" s="41" t="s">
        <v>0</v>
      </c>
      <c r="C6" s="41" t="str">
        <f>CONCATENATE("Cost (",Summary!$E$9,")")</f>
        <v>Cost (INR)</v>
      </c>
      <c r="D6" s="41" t="str">
        <f>CONCATENATE("Rate (",Summary!$E$9,")")</f>
        <v>Rate (INR)</v>
      </c>
      <c r="E6" s="41" t="str">
        <f>CONCATENATE("Effort  (",Summary!$E$8,")")</f>
        <v>Effort  (Days)</v>
      </c>
      <c r="F6" s="41" t="str">
        <f>CONCATENATE("Cost Total (",Summary!$E$9,")")</f>
        <v>Cost Total (INR)</v>
      </c>
      <c r="G6" s="41" t="str">
        <f>CONCATENATE("Revenue Total (",Summary!$E$9,")")</f>
        <v>Revenue Total (INR)</v>
      </c>
      <c r="H6" s="41" t="s">
        <v>42</v>
      </c>
    </row>
    <row r="7" spans="1:8" x14ac:dyDescent="0.25">
      <c r="A7" s="42">
        <f>'Detailed Dev Efforts'!A7</f>
        <v>1</v>
      </c>
      <c r="B7" s="7" t="s">
        <v>123</v>
      </c>
      <c r="C7" s="27">
        <v>7000</v>
      </c>
      <c r="D7" s="27">
        <v>9166.65</v>
      </c>
      <c r="E7" s="26">
        <v>0</v>
      </c>
      <c r="F7" s="27">
        <f>E7*C7</f>
        <v>0</v>
      </c>
      <c r="G7" s="27">
        <f>D7*E7</f>
        <v>0</v>
      </c>
      <c r="H7" s="43">
        <f>IF(E7&gt;0,((D7*E7)-(C7*E7))/(D7*E7),0)</f>
        <v>0</v>
      </c>
    </row>
    <row r="8" spans="1:8" x14ac:dyDescent="0.25">
      <c r="A8" s="42">
        <v>2</v>
      </c>
      <c r="B8" s="7" t="s">
        <v>122</v>
      </c>
      <c r="C8" s="27">
        <v>4400</v>
      </c>
      <c r="D8" s="27">
        <v>6071.4</v>
      </c>
      <c r="E8" s="26">
        <v>3</v>
      </c>
      <c r="F8" s="27">
        <f t="shared" ref="F8:F26" si="0">E8*C8</f>
        <v>13200</v>
      </c>
      <c r="G8" s="27">
        <f t="shared" ref="G8:G26" si="1">D8*E8</f>
        <v>18214.199999999997</v>
      </c>
      <c r="H8" s="43">
        <f>IF(E8&gt;0,((D8*E8)-(C8*E8))/(D8*E8),0)</f>
        <v>0.27529070725038696</v>
      </c>
    </row>
    <row r="9" spans="1:8" x14ac:dyDescent="0.25">
      <c r="A9" s="42">
        <f>'Detailed Dev Efforts'!A9</f>
        <v>3</v>
      </c>
      <c r="B9" s="7"/>
      <c r="C9" s="27"/>
      <c r="D9" s="27"/>
      <c r="E9" s="26">
        <v>0</v>
      </c>
      <c r="F9" s="27">
        <f t="shared" si="0"/>
        <v>0</v>
      </c>
      <c r="G9" s="27">
        <f t="shared" si="1"/>
        <v>0</v>
      </c>
      <c r="H9" s="43">
        <f>IF(E9&gt;0,((D9*E9)-(C9*E9))/(D9*E9),0)</f>
        <v>0</v>
      </c>
    </row>
    <row r="10" spans="1:8" x14ac:dyDescent="0.25">
      <c r="A10" s="42">
        <v>4</v>
      </c>
      <c r="B10" s="7"/>
      <c r="C10" s="27"/>
      <c r="D10" s="27"/>
      <c r="E10" s="26">
        <v>0</v>
      </c>
      <c r="F10" s="27">
        <f t="shared" si="0"/>
        <v>0</v>
      </c>
      <c r="G10" s="27">
        <f t="shared" si="1"/>
        <v>0</v>
      </c>
      <c r="H10" s="43">
        <f t="shared" ref="H10:H26" si="2">IF(E10&gt;0,((D10*E10)-(C10*E10))/(D10*E10),0)</f>
        <v>0</v>
      </c>
    </row>
    <row r="11" spans="1:8" x14ac:dyDescent="0.25">
      <c r="A11" s="42">
        <v>5</v>
      </c>
      <c r="B11" s="7"/>
      <c r="C11" s="27"/>
      <c r="D11" s="27"/>
      <c r="E11" s="26">
        <v>0</v>
      </c>
      <c r="F11" s="27">
        <f t="shared" si="0"/>
        <v>0</v>
      </c>
      <c r="G11" s="27">
        <f t="shared" si="1"/>
        <v>0</v>
      </c>
      <c r="H11" s="43">
        <f t="shared" si="2"/>
        <v>0</v>
      </c>
    </row>
    <row r="12" spans="1:8" x14ac:dyDescent="0.25">
      <c r="A12" s="42">
        <v>6</v>
      </c>
      <c r="B12" s="7"/>
      <c r="C12" s="27"/>
      <c r="D12" s="27"/>
      <c r="E12" s="26">
        <v>0</v>
      </c>
      <c r="F12" s="27">
        <f t="shared" si="0"/>
        <v>0</v>
      </c>
      <c r="G12" s="27">
        <f t="shared" si="1"/>
        <v>0</v>
      </c>
      <c r="H12" s="43">
        <f t="shared" si="2"/>
        <v>0</v>
      </c>
    </row>
    <row r="13" spans="1:8" x14ac:dyDescent="0.25">
      <c r="A13" s="42">
        <v>7</v>
      </c>
      <c r="B13" s="7"/>
      <c r="C13" s="27"/>
      <c r="D13" s="27"/>
      <c r="E13" s="26">
        <v>0</v>
      </c>
      <c r="F13" s="27">
        <f t="shared" si="0"/>
        <v>0</v>
      </c>
      <c r="G13" s="27">
        <f t="shared" si="1"/>
        <v>0</v>
      </c>
      <c r="H13" s="43">
        <f t="shared" si="2"/>
        <v>0</v>
      </c>
    </row>
    <row r="14" spans="1:8" x14ac:dyDescent="0.25">
      <c r="A14" s="42">
        <v>8</v>
      </c>
      <c r="B14" s="7"/>
      <c r="C14" s="27"/>
      <c r="D14" s="27"/>
      <c r="E14" s="26">
        <v>0</v>
      </c>
      <c r="F14" s="27">
        <f t="shared" si="0"/>
        <v>0</v>
      </c>
      <c r="G14" s="27">
        <f t="shared" si="1"/>
        <v>0</v>
      </c>
      <c r="H14" s="43">
        <f t="shared" si="2"/>
        <v>0</v>
      </c>
    </row>
    <row r="15" spans="1:8" x14ac:dyDescent="0.25">
      <c r="A15" s="42">
        <f>'Detailed Dev Efforts'!A15</f>
        <v>9</v>
      </c>
      <c r="B15" s="7"/>
      <c r="C15" s="27"/>
      <c r="D15" s="27"/>
      <c r="E15" s="26">
        <v>0</v>
      </c>
      <c r="F15" s="27">
        <f t="shared" si="0"/>
        <v>0</v>
      </c>
      <c r="G15" s="27">
        <f t="shared" si="1"/>
        <v>0</v>
      </c>
      <c r="H15" s="43">
        <f t="shared" si="2"/>
        <v>0</v>
      </c>
    </row>
    <row r="16" spans="1:8" x14ac:dyDescent="0.25">
      <c r="A16" s="42">
        <v>10</v>
      </c>
      <c r="B16" s="7"/>
      <c r="C16" s="27"/>
      <c r="D16" s="27"/>
      <c r="E16" s="26">
        <v>0</v>
      </c>
      <c r="F16" s="27">
        <f t="shared" si="0"/>
        <v>0</v>
      </c>
      <c r="G16" s="27">
        <f t="shared" si="1"/>
        <v>0</v>
      </c>
      <c r="H16" s="43">
        <f t="shared" si="2"/>
        <v>0</v>
      </c>
    </row>
    <row r="17" spans="1:8" x14ac:dyDescent="0.25">
      <c r="A17" s="42">
        <v>11</v>
      </c>
      <c r="B17" s="7"/>
      <c r="C17" s="27">
        <v>0</v>
      </c>
      <c r="D17" s="27">
        <v>0</v>
      </c>
      <c r="E17" s="26">
        <v>0</v>
      </c>
      <c r="F17" s="27">
        <f t="shared" si="0"/>
        <v>0</v>
      </c>
      <c r="G17" s="27">
        <f t="shared" si="1"/>
        <v>0</v>
      </c>
      <c r="H17" s="43">
        <f t="shared" si="2"/>
        <v>0</v>
      </c>
    </row>
    <row r="18" spans="1:8" x14ac:dyDescent="0.25">
      <c r="A18" s="42">
        <v>12</v>
      </c>
      <c r="B18" s="7" t="s">
        <v>30</v>
      </c>
      <c r="C18" s="27">
        <v>0</v>
      </c>
      <c r="D18" s="27">
        <v>0</v>
      </c>
      <c r="E18" s="26">
        <v>0</v>
      </c>
      <c r="F18" s="27">
        <f t="shared" si="0"/>
        <v>0</v>
      </c>
      <c r="G18" s="27">
        <f t="shared" si="1"/>
        <v>0</v>
      </c>
      <c r="H18" s="43">
        <f t="shared" si="2"/>
        <v>0</v>
      </c>
    </row>
    <row r="19" spans="1:8" x14ac:dyDescent="0.25">
      <c r="A19" s="42">
        <v>13</v>
      </c>
      <c r="B19" s="7" t="s">
        <v>30</v>
      </c>
      <c r="C19" s="27">
        <v>0</v>
      </c>
      <c r="D19" s="27">
        <v>0</v>
      </c>
      <c r="E19" s="26">
        <v>0</v>
      </c>
      <c r="F19" s="27">
        <f t="shared" si="0"/>
        <v>0</v>
      </c>
      <c r="G19" s="27">
        <f t="shared" si="1"/>
        <v>0</v>
      </c>
      <c r="H19" s="43">
        <f t="shared" si="2"/>
        <v>0</v>
      </c>
    </row>
    <row r="20" spans="1:8" x14ac:dyDescent="0.25">
      <c r="A20" s="42">
        <v>14</v>
      </c>
      <c r="B20" s="7" t="s">
        <v>30</v>
      </c>
      <c r="C20" s="27">
        <v>0</v>
      </c>
      <c r="D20" s="27">
        <v>0</v>
      </c>
      <c r="E20" s="26">
        <v>0</v>
      </c>
      <c r="F20" s="27">
        <f t="shared" si="0"/>
        <v>0</v>
      </c>
      <c r="G20" s="27">
        <f t="shared" si="1"/>
        <v>0</v>
      </c>
      <c r="H20" s="43">
        <f t="shared" si="2"/>
        <v>0</v>
      </c>
    </row>
    <row r="21" spans="1:8" x14ac:dyDescent="0.25">
      <c r="A21" s="42">
        <f>'Detailed Dev Efforts'!A21</f>
        <v>15</v>
      </c>
      <c r="B21" s="7" t="s">
        <v>30</v>
      </c>
      <c r="C21" s="27">
        <v>0</v>
      </c>
      <c r="D21" s="27">
        <v>0</v>
      </c>
      <c r="E21" s="26">
        <v>0</v>
      </c>
      <c r="F21" s="27">
        <f t="shared" si="0"/>
        <v>0</v>
      </c>
      <c r="G21" s="27">
        <f t="shared" si="1"/>
        <v>0</v>
      </c>
      <c r="H21" s="43">
        <f t="shared" si="2"/>
        <v>0</v>
      </c>
    </row>
    <row r="22" spans="1:8" x14ac:dyDescent="0.25">
      <c r="A22" s="42">
        <v>16</v>
      </c>
      <c r="B22" s="7" t="s">
        <v>30</v>
      </c>
      <c r="C22" s="27">
        <v>0</v>
      </c>
      <c r="D22" s="27">
        <v>0</v>
      </c>
      <c r="E22" s="26">
        <v>0</v>
      </c>
      <c r="F22" s="27">
        <f t="shared" si="0"/>
        <v>0</v>
      </c>
      <c r="G22" s="27">
        <f t="shared" si="1"/>
        <v>0</v>
      </c>
      <c r="H22" s="43">
        <f t="shared" si="2"/>
        <v>0</v>
      </c>
    </row>
    <row r="23" spans="1:8" x14ac:dyDescent="0.25">
      <c r="A23" s="42">
        <v>17</v>
      </c>
      <c r="B23" s="7" t="s">
        <v>30</v>
      </c>
      <c r="C23" s="27">
        <v>0</v>
      </c>
      <c r="D23" s="27">
        <v>0</v>
      </c>
      <c r="E23" s="26">
        <v>0</v>
      </c>
      <c r="F23" s="27">
        <f t="shared" si="0"/>
        <v>0</v>
      </c>
      <c r="G23" s="27">
        <f t="shared" si="1"/>
        <v>0</v>
      </c>
      <c r="H23" s="43">
        <f t="shared" si="2"/>
        <v>0</v>
      </c>
    </row>
    <row r="24" spans="1:8" x14ac:dyDescent="0.25">
      <c r="A24" s="42">
        <v>18</v>
      </c>
      <c r="B24" s="7" t="s">
        <v>30</v>
      </c>
      <c r="C24" s="27">
        <v>0</v>
      </c>
      <c r="D24" s="27">
        <v>0</v>
      </c>
      <c r="E24" s="26">
        <v>0</v>
      </c>
      <c r="F24" s="27">
        <f t="shared" si="0"/>
        <v>0</v>
      </c>
      <c r="G24" s="27">
        <f t="shared" si="1"/>
        <v>0</v>
      </c>
      <c r="H24" s="43">
        <f t="shared" si="2"/>
        <v>0</v>
      </c>
    </row>
    <row r="25" spans="1:8" x14ac:dyDescent="0.25">
      <c r="A25" s="42">
        <v>19</v>
      </c>
      <c r="B25" s="7" t="s">
        <v>30</v>
      </c>
      <c r="C25" s="27">
        <v>0</v>
      </c>
      <c r="D25" s="27">
        <v>0</v>
      </c>
      <c r="E25" s="26">
        <v>0</v>
      </c>
      <c r="F25" s="27">
        <f t="shared" si="0"/>
        <v>0</v>
      </c>
      <c r="G25" s="27">
        <f t="shared" si="1"/>
        <v>0</v>
      </c>
      <c r="H25" s="43">
        <f t="shared" si="2"/>
        <v>0</v>
      </c>
    </row>
    <row r="26" spans="1:8" x14ac:dyDescent="0.25">
      <c r="A26" s="42">
        <v>20</v>
      </c>
      <c r="B26" s="7" t="s">
        <v>30</v>
      </c>
      <c r="C26" s="27">
        <v>0</v>
      </c>
      <c r="D26" s="27">
        <v>0</v>
      </c>
      <c r="E26" s="26">
        <v>0</v>
      </c>
      <c r="F26" s="27">
        <f t="shared" si="0"/>
        <v>0</v>
      </c>
      <c r="G26" s="27">
        <f t="shared" si="1"/>
        <v>0</v>
      </c>
      <c r="H26" s="43">
        <f t="shared" si="2"/>
        <v>0</v>
      </c>
    </row>
    <row r="27" spans="1:8" x14ac:dyDescent="0.25">
      <c r="A27" s="21"/>
      <c r="B27" s="46" t="s">
        <v>99</v>
      </c>
      <c r="C27" s="46"/>
      <c r="D27" s="46"/>
      <c r="E27" s="47">
        <f>SUM(E7:E26)</f>
        <v>3</v>
      </c>
      <c r="F27" s="48">
        <f>SUM(F7:F26)</f>
        <v>13200</v>
      </c>
      <c r="G27" s="48">
        <f>SUM(G7:G26)</f>
        <v>18214.199999999997</v>
      </c>
      <c r="H27" s="49">
        <f>(G27-F27)/G27</f>
        <v>0.27529070725038696</v>
      </c>
    </row>
    <row r="28" spans="1:8" x14ac:dyDescent="0.25">
      <c r="A28" s="28"/>
      <c r="B28" s="121" t="s">
        <v>93</v>
      </c>
      <c r="C28" s="122"/>
      <c r="D28" s="122"/>
      <c r="E28" s="122"/>
      <c r="F28" s="122"/>
      <c r="G28" s="122"/>
      <c r="H28" s="123"/>
    </row>
    <row r="29" spans="1:8" x14ac:dyDescent="0.25">
      <c r="A29" s="20"/>
      <c r="B29" s="50" t="s">
        <v>95</v>
      </c>
      <c r="C29" s="50"/>
      <c r="D29" s="50" t="s">
        <v>96</v>
      </c>
      <c r="E29" s="50" t="s">
        <v>97</v>
      </c>
      <c r="F29" s="50" t="s">
        <v>98</v>
      </c>
      <c r="G29" s="50"/>
      <c r="H29" s="50"/>
    </row>
    <row r="30" spans="1:8" x14ac:dyDescent="0.25">
      <c r="A30" s="20">
        <v>1</v>
      </c>
      <c r="B30" s="20" t="s">
        <v>94</v>
      </c>
      <c r="C30" s="20"/>
      <c r="D30" s="20">
        <v>1</v>
      </c>
      <c r="E30" s="26">
        <v>0</v>
      </c>
      <c r="F30" s="27">
        <f>D30*E30</f>
        <v>0</v>
      </c>
      <c r="G30" s="29"/>
      <c r="H30" s="30"/>
    </row>
    <row r="31" spans="1:8" x14ac:dyDescent="0.25">
      <c r="A31" s="20">
        <v>2</v>
      </c>
      <c r="B31" s="20" t="s">
        <v>102</v>
      </c>
      <c r="C31" s="20"/>
      <c r="D31" s="20">
        <v>1</v>
      </c>
      <c r="E31" s="26">
        <v>0</v>
      </c>
      <c r="F31" s="27">
        <f t="shared" ref="F31:F38" si="3">D31*E31</f>
        <v>0</v>
      </c>
      <c r="G31" s="29"/>
      <c r="H31" s="30"/>
    </row>
    <row r="32" spans="1:8" x14ac:dyDescent="0.25">
      <c r="A32" s="20" t="s">
        <v>30</v>
      </c>
      <c r="B32" s="20"/>
      <c r="C32" s="20"/>
      <c r="D32" s="20"/>
      <c r="E32" s="26"/>
      <c r="F32" s="27">
        <f t="shared" si="3"/>
        <v>0</v>
      </c>
      <c r="G32" s="27"/>
      <c r="H32" s="26"/>
    </row>
    <row r="33" spans="1:8" x14ac:dyDescent="0.25">
      <c r="A33" s="20"/>
      <c r="B33" s="20"/>
      <c r="C33" s="20"/>
      <c r="D33" s="20"/>
      <c r="E33" s="26"/>
      <c r="F33" s="27">
        <f t="shared" si="3"/>
        <v>0</v>
      </c>
      <c r="G33" s="26"/>
      <c r="H33" s="26"/>
    </row>
    <row r="34" spans="1:8" x14ac:dyDescent="0.25">
      <c r="A34" s="20"/>
      <c r="B34" s="20"/>
      <c r="C34" s="20"/>
      <c r="D34" s="20"/>
      <c r="E34" s="26"/>
      <c r="F34" s="27">
        <f t="shared" si="3"/>
        <v>0</v>
      </c>
      <c r="G34" s="26"/>
      <c r="H34" s="26"/>
    </row>
    <row r="35" spans="1:8" x14ac:dyDescent="0.25">
      <c r="A35" s="20"/>
      <c r="B35" s="20"/>
      <c r="C35" s="20"/>
      <c r="D35" s="20"/>
      <c r="E35" s="26"/>
      <c r="F35" s="27">
        <f t="shared" si="3"/>
        <v>0</v>
      </c>
      <c r="G35" s="26"/>
      <c r="H35" s="26"/>
    </row>
    <row r="36" spans="1:8" x14ac:dyDescent="0.25">
      <c r="A36" s="20"/>
      <c r="B36" s="20"/>
      <c r="C36" s="20"/>
      <c r="D36" s="20"/>
      <c r="E36" s="26"/>
      <c r="F36" s="27">
        <f t="shared" si="3"/>
        <v>0</v>
      </c>
      <c r="G36" s="26"/>
      <c r="H36" s="26"/>
    </row>
    <row r="37" spans="1:8" x14ac:dyDescent="0.25">
      <c r="A37" s="20"/>
      <c r="B37" s="20"/>
      <c r="C37" s="20"/>
      <c r="D37" s="20"/>
      <c r="E37" s="26"/>
      <c r="F37" s="27">
        <f t="shared" si="3"/>
        <v>0</v>
      </c>
      <c r="G37" s="26"/>
      <c r="H37" s="26"/>
    </row>
    <row r="38" spans="1:8" x14ac:dyDescent="0.25">
      <c r="A38" s="20"/>
      <c r="B38" s="20"/>
      <c r="C38" s="20"/>
      <c r="D38" s="20"/>
      <c r="E38" s="26"/>
      <c r="F38" s="27">
        <f t="shared" si="3"/>
        <v>0</v>
      </c>
      <c r="G38" s="26"/>
      <c r="H38" s="26"/>
    </row>
    <row r="39" spans="1:8" x14ac:dyDescent="0.25">
      <c r="A39" s="20"/>
      <c r="B39" s="19" t="s">
        <v>100</v>
      </c>
      <c r="C39" s="20"/>
      <c r="D39" s="20"/>
      <c r="E39" s="26"/>
      <c r="F39" s="27">
        <f>SUM(F30:F38)</f>
        <v>0</v>
      </c>
      <c r="G39" s="26"/>
      <c r="H39" s="26"/>
    </row>
    <row r="40" spans="1:8" x14ac:dyDescent="0.25">
      <c r="A40" s="9"/>
      <c r="B40" s="9"/>
      <c r="C40" s="9"/>
      <c r="D40" s="9"/>
      <c r="E40" s="10"/>
      <c r="F40" s="10"/>
      <c r="G40" s="10"/>
      <c r="H40" s="10"/>
    </row>
    <row r="41" spans="1:8" x14ac:dyDescent="0.25">
      <c r="A41" s="9"/>
      <c r="B41" s="45" t="s">
        <v>101</v>
      </c>
      <c r="C41" s="45"/>
      <c r="D41" s="45"/>
      <c r="E41" s="51"/>
      <c r="F41" s="53">
        <f>SUM(F39+F27)</f>
        <v>13200</v>
      </c>
      <c r="G41" s="53">
        <f>G27</f>
        <v>18214.199999999997</v>
      </c>
      <c r="H41" s="52">
        <f>(G41-F41)/G41</f>
        <v>0.27529070725038696</v>
      </c>
    </row>
    <row r="42" spans="1:8" x14ac:dyDescent="0.25">
      <c r="A42" s="9"/>
      <c r="B42" s="9"/>
      <c r="C42" s="9"/>
      <c r="D42" s="9"/>
      <c r="E42" s="10"/>
      <c r="F42" s="10"/>
      <c r="G42" s="10"/>
      <c r="H42" s="10"/>
    </row>
    <row r="43" spans="1:8" x14ac:dyDescent="0.25">
      <c r="A43" s="9"/>
      <c r="B43" s="9"/>
      <c r="C43" s="9"/>
      <c r="D43" s="9"/>
      <c r="E43" s="10"/>
      <c r="F43" s="10"/>
      <c r="G43" s="10"/>
      <c r="H43" s="10"/>
    </row>
    <row r="44" spans="1:8" x14ac:dyDescent="0.25">
      <c r="A44" s="9"/>
      <c r="B44" s="9"/>
      <c r="C44" s="9"/>
      <c r="D44" s="9"/>
      <c r="E44" s="10"/>
      <c r="F44" s="10"/>
      <c r="G44" s="10"/>
      <c r="H44" s="10"/>
    </row>
    <row r="45" spans="1:8" x14ac:dyDescent="0.25">
      <c r="A45" s="9"/>
      <c r="B45" s="9"/>
      <c r="C45" s="9"/>
      <c r="D45" s="9"/>
      <c r="E45" s="10"/>
      <c r="F45" s="10"/>
      <c r="G45" s="10"/>
      <c r="H45" s="10"/>
    </row>
    <row r="46" spans="1:8" x14ac:dyDescent="0.25">
      <c r="A46" s="9"/>
      <c r="B46" s="9"/>
      <c r="C46" s="9"/>
      <c r="D46" s="9"/>
      <c r="E46" s="10"/>
      <c r="F46" s="10"/>
      <c r="G46" s="10"/>
      <c r="H46" s="10"/>
    </row>
    <row r="47" spans="1:8" x14ac:dyDescent="0.25">
      <c r="A47" s="9"/>
      <c r="B47" s="9"/>
      <c r="C47" s="9"/>
      <c r="D47" s="9"/>
      <c r="E47" s="10"/>
      <c r="F47" s="10"/>
      <c r="G47" s="10"/>
      <c r="H47" s="10"/>
    </row>
    <row r="48" spans="1:8" x14ac:dyDescent="0.25">
      <c r="A48" s="9"/>
      <c r="B48" s="9"/>
      <c r="C48" s="9"/>
      <c r="D48" s="9"/>
      <c r="E48" s="10"/>
      <c r="F48" s="10"/>
      <c r="G48" s="10"/>
      <c r="H48" s="10"/>
    </row>
    <row r="49" spans="1:8" x14ac:dyDescent="0.25">
      <c r="A49" s="9"/>
      <c r="B49" s="9"/>
      <c r="C49" s="9"/>
      <c r="D49" s="9"/>
      <c r="E49" s="10"/>
      <c r="F49" s="10"/>
      <c r="G49" s="10"/>
      <c r="H49" s="10"/>
    </row>
    <row r="50" spans="1:8" x14ac:dyDescent="0.25">
      <c r="A50" s="9"/>
      <c r="B50" s="9"/>
      <c r="C50" s="9"/>
      <c r="D50" s="9"/>
      <c r="E50" s="10"/>
      <c r="F50" s="10"/>
      <c r="G50" s="10"/>
      <c r="H50" s="10"/>
    </row>
    <row r="51" spans="1:8" x14ac:dyDescent="0.25">
      <c r="A51" s="9"/>
      <c r="B51" s="9"/>
      <c r="C51" s="9"/>
      <c r="D51" s="9"/>
      <c r="E51" s="10"/>
      <c r="F51" s="10"/>
      <c r="G51" s="10"/>
      <c r="H51" s="10"/>
    </row>
    <row r="52" spans="1:8" x14ac:dyDescent="0.25">
      <c r="A52" s="9"/>
      <c r="B52" s="9"/>
      <c r="C52" s="9"/>
      <c r="D52" s="9"/>
      <c r="E52" s="10"/>
      <c r="F52" s="10"/>
      <c r="G52" s="10"/>
      <c r="H52" s="10"/>
    </row>
    <row r="53" spans="1:8" x14ac:dyDescent="0.25">
      <c r="A53" s="9"/>
      <c r="B53" s="9"/>
      <c r="C53" s="9"/>
      <c r="D53" s="9"/>
      <c r="E53" s="10"/>
      <c r="F53" s="10"/>
      <c r="G53" s="10"/>
      <c r="H53" s="10"/>
    </row>
    <row r="54" spans="1:8" x14ac:dyDescent="0.25">
      <c r="A54" s="9"/>
      <c r="B54" s="9"/>
      <c r="C54" s="9"/>
      <c r="D54" s="9"/>
      <c r="E54" s="10"/>
      <c r="F54" s="10"/>
      <c r="G54" s="10"/>
      <c r="H54" s="10"/>
    </row>
    <row r="55" spans="1:8" x14ac:dyDescent="0.25">
      <c r="A55" s="9"/>
      <c r="B55" s="9"/>
      <c r="C55" s="9"/>
      <c r="D55" s="9"/>
      <c r="E55" s="10"/>
      <c r="F55" s="10"/>
      <c r="G55" s="10"/>
      <c r="H55" s="10"/>
    </row>
    <row r="56" spans="1:8" x14ac:dyDescent="0.25">
      <c r="A56" s="9"/>
      <c r="B56" s="9"/>
      <c r="C56" s="9"/>
      <c r="D56" s="9"/>
      <c r="E56" s="10"/>
      <c r="F56" s="10"/>
      <c r="G56" s="10"/>
      <c r="H56" s="10"/>
    </row>
    <row r="57" spans="1:8" x14ac:dyDescent="0.25">
      <c r="A57" s="9"/>
      <c r="B57" s="9"/>
      <c r="C57" s="9"/>
      <c r="D57" s="9"/>
      <c r="E57" s="10"/>
      <c r="F57" s="10"/>
      <c r="G57" s="10"/>
      <c r="H57" s="10"/>
    </row>
    <row r="58" spans="1:8" x14ac:dyDescent="0.25">
      <c r="A58" s="9"/>
      <c r="B58" s="9"/>
      <c r="C58" s="9"/>
      <c r="D58" s="9"/>
      <c r="E58" s="10"/>
      <c r="F58" s="10"/>
      <c r="G58" s="10"/>
      <c r="H58" s="10"/>
    </row>
    <row r="59" spans="1:8" x14ac:dyDescent="0.25">
      <c r="A59" s="9"/>
      <c r="B59" s="9"/>
      <c r="C59" s="9"/>
      <c r="D59" s="9"/>
      <c r="E59" s="10"/>
      <c r="F59" s="10"/>
      <c r="G59" s="10"/>
      <c r="H59" s="10"/>
    </row>
    <row r="60" spans="1:8" x14ac:dyDescent="0.25">
      <c r="A60" s="9"/>
      <c r="B60" s="9"/>
      <c r="C60" s="9"/>
      <c r="D60" s="9"/>
      <c r="E60" s="10"/>
      <c r="F60" s="10"/>
      <c r="G60" s="10"/>
      <c r="H60" s="10"/>
    </row>
    <row r="61" spans="1:8" x14ac:dyDescent="0.25">
      <c r="A61" s="9"/>
      <c r="B61" s="9"/>
      <c r="C61" s="9"/>
      <c r="D61" s="9"/>
      <c r="E61" s="10"/>
      <c r="F61" s="10"/>
      <c r="G61" s="10"/>
      <c r="H61" s="10"/>
    </row>
    <row r="62" spans="1:8" x14ac:dyDescent="0.25">
      <c r="A62" s="9"/>
      <c r="B62" s="9"/>
      <c r="C62" s="9"/>
      <c r="D62" s="9"/>
      <c r="E62" s="10"/>
      <c r="F62" s="10"/>
      <c r="G62" s="10"/>
      <c r="H62" s="10"/>
    </row>
    <row r="63" spans="1:8" x14ac:dyDescent="0.25">
      <c r="A63" s="9"/>
      <c r="B63" s="9"/>
      <c r="C63" s="9"/>
      <c r="D63" s="9"/>
      <c r="E63" s="10"/>
      <c r="F63" s="10"/>
      <c r="G63" s="10"/>
      <c r="H63" s="10"/>
    </row>
    <row r="64" spans="1:8" x14ac:dyDescent="0.25">
      <c r="A64" s="9"/>
      <c r="B64" s="9"/>
      <c r="C64" s="9"/>
      <c r="D64" s="9"/>
      <c r="E64" s="10"/>
      <c r="F64" s="10"/>
      <c r="G64" s="10"/>
      <c r="H64" s="10"/>
    </row>
    <row r="65" spans="1:8" x14ac:dyDescent="0.25">
      <c r="A65" s="9"/>
      <c r="B65" s="9"/>
      <c r="C65" s="9"/>
      <c r="D65" s="9"/>
      <c r="E65" s="10"/>
      <c r="F65" s="10"/>
      <c r="G65" s="10"/>
      <c r="H65" s="10"/>
    </row>
    <row r="66" spans="1:8" x14ac:dyDescent="0.25">
      <c r="A66" s="11"/>
      <c r="B66" s="11"/>
      <c r="C66" s="11"/>
      <c r="D66" s="11"/>
      <c r="E66" s="12"/>
      <c r="F66" s="12"/>
      <c r="G66" s="12"/>
      <c r="H66" s="12"/>
    </row>
    <row r="67" spans="1:8" x14ac:dyDescent="0.25">
      <c r="A67" s="11"/>
      <c r="B67" s="11"/>
      <c r="C67" s="11"/>
      <c r="D67" s="11"/>
      <c r="E67" s="11"/>
      <c r="F67" s="11"/>
      <c r="G67" s="11"/>
      <c r="H67" s="11"/>
    </row>
    <row r="68" spans="1:8" x14ac:dyDescent="0.25">
      <c r="A68" s="11"/>
      <c r="B68" s="11"/>
      <c r="C68" s="11"/>
      <c r="D68" s="11"/>
      <c r="E68" s="11"/>
      <c r="F68" s="11"/>
      <c r="G68" s="11"/>
      <c r="H68" s="11"/>
    </row>
    <row r="69" spans="1:8" x14ac:dyDescent="0.25">
      <c r="A69" s="11"/>
      <c r="B69" s="11"/>
      <c r="C69" s="11"/>
      <c r="D69" s="11"/>
      <c r="E69" s="11"/>
      <c r="F69" s="11"/>
      <c r="G69" s="11"/>
      <c r="H69" s="11"/>
    </row>
    <row r="70" spans="1:8" x14ac:dyDescent="0.25">
      <c r="A70" s="11"/>
      <c r="B70" s="11"/>
      <c r="C70" s="11"/>
      <c r="D70" s="11"/>
      <c r="E70" s="11"/>
      <c r="F70" s="11"/>
      <c r="G70" s="11"/>
      <c r="H70" s="11"/>
    </row>
    <row r="71" spans="1:8" x14ac:dyDescent="0.25">
      <c r="A71" s="11"/>
      <c r="B71" s="11"/>
      <c r="C71" s="11"/>
      <c r="D71" s="11"/>
      <c r="E71" s="11"/>
      <c r="F71" s="11"/>
      <c r="G71" s="11"/>
      <c r="H71" s="11"/>
    </row>
    <row r="72" spans="1:8" x14ac:dyDescent="0.25">
      <c r="A72" s="11"/>
      <c r="B72" s="11"/>
      <c r="C72" s="11"/>
      <c r="D72" s="11"/>
      <c r="E72" s="11"/>
      <c r="F72" s="11"/>
      <c r="G72" s="11"/>
      <c r="H72" s="11"/>
    </row>
    <row r="73" spans="1:8" x14ac:dyDescent="0.25">
      <c r="A73" s="11"/>
      <c r="B73" s="11"/>
      <c r="C73" s="11"/>
      <c r="D73" s="11"/>
      <c r="E73" s="11"/>
      <c r="F73" s="11"/>
      <c r="G73" s="11"/>
      <c r="H73" s="11"/>
    </row>
    <row r="74" spans="1:8" x14ac:dyDescent="0.25">
      <c r="A74" s="11"/>
      <c r="B74" s="11"/>
      <c r="C74" s="11"/>
      <c r="D74" s="11"/>
      <c r="E74" s="11"/>
      <c r="F74" s="11"/>
      <c r="G74" s="11"/>
      <c r="H74" s="11"/>
    </row>
    <row r="75" spans="1:8" x14ac:dyDescent="0.25">
      <c r="A75" s="11"/>
      <c r="B75" s="11"/>
      <c r="C75" s="11"/>
      <c r="D75" s="11"/>
      <c r="E75" s="11"/>
      <c r="F75" s="11"/>
      <c r="G75" s="11"/>
      <c r="H75" s="11"/>
    </row>
    <row r="76" spans="1:8" x14ac:dyDescent="0.25">
      <c r="A76" s="11"/>
      <c r="B76" s="11"/>
      <c r="C76" s="11"/>
      <c r="D76" s="11"/>
      <c r="E76" s="11"/>
      <c r="F76" s="11"/>
      <c r="G76" s="11"/>
      <c r="H76" s="11"/>
    </row>
    <row r="77" spans="1:8" x14ac:dyDescent="0.25">
      <c r="A77" s="11"/>
      <c r="B77" s="11"/>
      <c r="C77" s="11"/>
      <c r="D77" s="11"/>
      <c r="E77" s="11"/>
      <c r="F77" s="11"/>
      <c r="G77" s="11"/>
      <c r="H77" s="11"/>
    </row>
    <row r="78" spans="1:8" x14ac:dyDescent="0.25">
      <c r="A78" s="11"/>
      <c r="B78" s="11"/>
      <c r="C78" s="11"/>
      <c r="D78" s="11"/>
      <c r="E78" s="11"/>
      <c r="F78" s="11"/>
      <c r="G78" s="11"/>
      <c r="H78" s="11"/>
    </row>
    <row r="79" spans="1:8" x14ac:dyDescent="0.25">
      <c r="A79" s="11"/>
      <c r="B79" s="11"/>
      <c r="C79" s="11"/>
      <c r="D79" s="11"/>
      <c r="E79" s="11"/>
      <c r="F79" s="11"/>
      <c r="G79" s="11"/>
      <c r="H79" s="11"/>
    </row>
    <row r="80" spans="1:8" x14ac:dyDescent="0.25">
      <c r="A80" s="11"/>
      <c r="B80" s="11"/>
      <c r="C80" s="11"/>
      <c r="D80" s="11"/>
      <c r="E80" s="11"/>
      <c r="F80" s="11"/>
      <c r="G80" s="11"/>
      <c r="H80" s="11"/>
    </row>
    <row r="81" spans="1:8" x14ac:dyDescent="0.25">
      <c r="A81" s="11"/>
      <c r="B81" s="11"/>
      <c r="C81" s="11"/>
      <c r="D81" s="11"/>
      <c r="E81" s="11"/>
      <c r="F81" s="11"/>
      <c r="G81" s="11"/>
      <c r="H81" s="11"/>
    </row>
    <row r="82" spans="1:8" x14ac:dyDescent="0.25">
      <c r="A82" s="11"/>
      <c r="B82" s="11"/>
      <c r="C82" s="11"/>
      <c r="D82" s="11"/>
      <c r="E82" s="11"/>
      <c r="F82" s="11"/>
      <c r="G82" s="11"/>
      <c r="H82" s="11"/>
    </row>
    <row r="83" spans="1:8" x14ac:dyDescent="0.25">
      <c r="A83" s="11"/>
      <c r="B83" s="11"/>
      <c r="C83" s="11"/>
      <c r="D83" s="11"/>
      <c r="E83" s="11"/>
      <c r="F83" s="11"/>
      <c r="G83" s="11"/>
      <c r="H83" s="11"/>
    </row>
    <row r="84" spans="1:8" x14ac:dyDescent="0.25">
      <c r="A84" s="11"/>
      <c r="B84" s="11"/>
      <c r="C84" s="11"/>
      <c r="D84" s="11"/>
      <c r="E84" s="11"/>
      <c r="F84" s="11"/>
      <c r="G84" s="11"/>
      <c r="H84" s="11"/>
    </row>
    <row r="85" spans="1:8" x14ac:dyDescent="0.25">
      <c r="A85" s="11"/>
      <c r="B85" s="11"/>
      <c r="C85" s="11"/>
      <c r="D85" s="11"/>
      <c r="E85" s="11"/>
      <c r="F85" s="11"/>
      <c r="G85" s="11"/>
      <c r="H85" s="11"/>
    </row>
    <row r="86" spans="1:8" x14ac:dyDescent="0.25">
      <c r="A86" s="11"/>
      <c r="B86" s="11"/>
      <c r="C86" s="11"/>
      <c r="D86" s="11"/>
      <c r="E86" s="11"/>
      <c r="F86" s="11"/>
      <c r="G86" s="11"/>
      <c r="H86" s="11"/>
    </row>
    <row r="87" spans="1:8" x14ac:dyDescent="0.25">
      <c r="A87" s="11"/>
      <c r="B87" s="11"/>
      <c r="C87" s="11"/>
      <c r="D87" s="11"/>
      <c r="E87" s="11"/>
      <c r="F87" s="11"/>
      <c r="G87" s="11"/>
      <c r="H87" s="11"/>
    </row>
    <row r="88" spans="1:8" x14ac:dyDescent="0.25">
      <c r="A88" s="11"/>
      <c r="B88" s="11"/>
      <c r="C88" s="11"/>
      <c r="D88" s="11"/>
      <c r="E88" s="11"/>
      <c r="F88" s="11"/>
      <c r="G88" s="11"/>
      <c r="H88" s="11"/>
    </row>
    <row r="89" spans="1:8" x14ac:dyDescent="0.25">
      <c r="A89" s="11"/>
      <c r="B89" s="11"/>
      <c r="C89" s="11"/>
      <c r="D89" s="11"/>
      <c r="E89" s="11"/>
      <c r="F89" s="11"/>
      <c r="G89" s="11"/>
      <c r="H89" s="11"/>
    </row>
    <row r="90" spans="1:8" x14ac:dyDescent="0.25">
      <c r="A90" s="11"/>
      <c r="B90" s="11"/>
      <c r="C90" s="11"/>
      <c r="D90" s="11"/>
      <c r="E90" s="11"/>
      <c r="F90" s="11"/>
      <c r="G90" s="11"/>
      <c r="H90" s="11"/>
    </row>
    <row r="91" spans="1:8" x14ac:dyDescent="0.25">
      <c r="A91" s="11"/>
      <c r="B91" s="11"/>
      <c r="C91" s="11"/>
      <c r="D91" s="11"/>
      <c r="E91" s="11"/>
      <c r="F91" s="11"/>
      <c r="G91" s="11"/>
      <c r="H91" s="11"/>
    </row>
    <row r="92" spans="1:8" x14ac:dyDescent="0.25">
      <c r="A92" s="11"/>
      <c r="B92" s="11"/>
      <c r="C92" s="11"/>
      <c r="D92" s="11"/>
      <c r="E92" s="11"/>
      <c r="F92" s="11"/>
      <c r="G92" s="11"/>
      <c r="H92" s="11"/>
    </row>
    <row r="93" spans="1:8" x14ac:dyDescent="0.25">
      <c r="A93" s="11"/>
      <c r="B93" s="11"/>
      <c r="C93" s="11"/>
      <c r="D93" s="11"/>
      <c r="E93" s="11"/>
      <c r="F93" s="11"/>
      <c r="G93" s="11"/>
      <c r="H93" s="11"/>
    </row>
    <row r="94" spans="1:8" x14ac:dyDescent="0.25">
      <c r="A94" s="11"/>
      <c r="B94" s="11"/>
      <c r="C94" s="11"/>
      <c r="D94" s="11"/>
      <c r="E94" s="11"/>
      <c r="F94" s="11"/>
      <c r="G94" s="11"/>
      <c r="H94" s="11"/>
    </row>
    <row r="95" spans="1:8" x14ac:dyDescent="0.25">
      <c r="A95" s="11"/>
      <c r="B95" s="11"/>
      <c r="C95" s="11"/>
      <c r="D95" s="11"/>
      <c r="E95" s="11"/>
      <c r="F95" s="11"/>
      <c r="G95" s="11"/>
      <c r="H95" s="11"/>
    </row>
    <row r="96" spans="1:8" x14ac:dyDescent="0.25">
      <c r="A96" s="11"/>
      <c r="B96" s="11"/>
      <c r="C96" s="11"/>
      <c r="D96" s="11"/>
      <c r="E96" s="11"/>
      <c r="F96" s="11"/>
      <c r="G96" s="11"/>
      <c r="H96" s="11"/>
    </row>
    <row r="97" spans="1:8" x14ac:dyDescent="0.25">
      <c r="A97" s="11"/>
      <c r="B97" s="11"/>
      <c r="C97" s="11"/>
      <c r="D97" s="11"/>
      <c r="E97" s="11"/>
      <c r="F97" s="11"/>
      <c r="G97" s="11"/>
      <c r="H97" s="11"/>
    </row>
    <row r="98" spans="1:8" x14ac:dyDescent="0.25">
      <c r="A98" s="11"/>
      <c r="B98" s="11"/>
      <c r="C98" s="11"/>
      <c r="D98" s="11"/>
      <c r="E98" s="11"/>
      <c r="F98" s="11"/>
      <c r="G98" s="11"/>
      <c r="H98" s="11"/>
    </row>
    <row r="99" spans="1:8" x14ac:dyDescent="0.25">
      <c r="A99" s="11"/>
      <c r="B99" s="11"/>
      <c r="C99" s="11"/>
      <c r="D99" s="11"/>
      <c r="E99" s="11"/>
      <c r="F99" s="11"/>
      <c r="G99" s="11"/>
      <c r="H99" s="11"/>
    </row>
    <row r="100" spans="1:8" x14ac:dyDescent="0.25">
      <c r="A100" s="11"/>
      <c r="B100" s="11"/>
      <c r="C100" s="11"/>
      <c r="D100" s="11"/>
      <c r="E100" s="11"/>
      <c r="F100" s="11"/>
      <c r="G100" s="11"/>
      <c r="H100" s="11"/>
    </row>
    <row r="101" spans="1:8" x14ac:dyDescent="0.25">
      <c r="A101" s="11"/>
      <c r="B101" s="11"/>
      <c r="C101" s="11"/>
      <c r="D101" s="11"/>
      <c r="E101" s="11"/>
      <c r="F101" s="11"/>
      <c r="G101" s="11"/>
      <c r="H101" s="11"/>
    </row>
    <row r="102" spans="1:8" x14ac:dyDescent="0.25">
      <c r="A102" s="11"/>
      <c r="B102" s="11"/>
      <c r="C102" s="11"/>
      <c r="D102" s="11"/>
      <c r="E102" s="11"/>
      <c r="F102" s="11"/>
      <c r="G102" s="11"/>
      <c r="H102" s="11"/>
    </row>
    <row r="103" spans="1:8" x14ac:dyDescent="0.25">
      <c r="A103" s="11"/>
      <c r="B103" s="11"/>
      <c r="C103" s="11"/>
      <c r="D103" s="11"/>
      <c r="E103" s="11"/>
      <c r="F103" s="11"/>
      <c r="G103" s="11"/>
      <c r="H103" s="11"/>
    </row>
    <row r="104" spans="1:8" x14ac:dyDescent="0.25">
      <c r="A104" s="11"/>
      <c r="B104" s="11"/>
      <c r="C104" s="11"/>
      <c r="D104" s="11"/>
      <c r="E104" s="11"/>
      <c r="F104" s="11"/>
      <c r="G104" s="11"/>
      <c r="H104" s="11"/>
    </row>
    <row r="105" spans="1:8" x14ac:dyDescent="0.25">
      <c r="A105" s="11"/>
      <c r="B105" s="11"/>
      <c r="C105" s="11"/>
      <c r="D105" s="11"/>
      <c r="E105" s="11"/>
      <c r="F105" s="11"/>
      <c r="G105" s="11"/>
      <c r="H105" s="11"/>
    </row>
    <row r="106" spans="1:8" x14ac:dyDescent="0.25">
      <c r="A106" s="11"/>
      <c r="B106" s="11"/>
      <c r="C106" s="11"/>
      <c r="D106" s="11"/>
      <c r="E106" s="11"/>
      <c r="F106" s="11"/>
      <c r="G106" s="11"/>
      <c r="H106" s="11"/>
    </row>
    <row r="107" spans="1:8" x14ac:dyDescent="0.25">
      <c r="A107" s="11"/>
      <c r="B107" s="11"/>
      <c r="C107" s="11"/>
      <c r="D107" s="11"/>
      <c r="E107" s="11"/>
      <c r="F107" s="11"/>
      <c r="G107" s="11"/>
      <c r="H107" s="11"/>
    </row>
    <row r="108" spans="1:8" x14ac:dyDescent="0.25">
      <c r="A108" s="11"/>
      <c r="B108" s="11"/>
      <c r="C108" s="11"/>
      <c r="D108" s="11"/>
      <c r="E108" s="11"/>
      <c r="F108" s="11"/>
      <c r="G108" s="11"/>
      <c r="H108" s="11"/>
    </row>
    <row r="109" spans="1:8" x14ac:dyDescent="0.25">
      <c r="A109" s="11"/>
      <c r="B109" s="11"/>
      <c r="C109" s="11"/>
      <c r="D109" s="11"/>
      <c r="E109" s="11"/>
      <c r="F109" s="11"/>
      <c r="G109" s="11"/>
      <c r="H109" s="11"/>
    </row>
    <row r="110" spans="1:8" x14ac:dyDescent="0.25">
      <c r="A110" s="11"/>
      <c r="B110" s="11"/>
      <c r="C110" s="11"/>
      <c r="D110" s="11"/>
      <c r="E110" s="11"/>
      <c r="F110" s="11"/>
      <c r="G110" s="11"/>
      <c r="H110" s="11"/>
    </row>
    <row r="111" spans="1:8" x14ac:dyDescent="0.25">
      <c r="A111" s="11"/>
      <c r="B111" s="11"/>
      <c r="C111" s="11"/>
      <c r="D111" s="11"/>
      <c r="E111" s="11"/>
      <c r="F111" s="11"/>
      <c r="G111" s="11"/>
      <c r="H111" s="11"/>
    </row>
    <row r="112" spans="1:8" x14ac:dyDescent="0.25">
      <c r="A112" s="11"/>
      <c r="B112" s="11"/>
      <c r="C112" s="11"/>
      <c r="D112" s="11"/>
      <c r="E112" s="11"/>
      <c r="F112" s="11"/>
      <c r="G112" s="11"/>
      <c r="H112" s="11"/>
    </row>
    <row r="113" spans="1:8" x14ac:dyDescent="0.25">
      <c r="A113" s="11"/>
      <c r="B113" s="11"/>
      <c r="C113" s="11"/>
      <c r="D113" s="11"/>
      <c r="E113" s="11"/>
      <c r="F113" s="11"/>
      <c r="G113" s="11"/>
      <c r="H113" s="11"/>
    </row>
    <row r="114" spans="1:8" x14ac:dyDescent="0.25">
      <c r="A114" s="11"/>
      <c r="B114" s="11"/>
      <c r="C114" s="11"/>
      <c r="D114" s="11"/>
      <c r="E114" s="11"/>
      <c r="F114" s="11"/>
      <c r="G114" s="11"/>
      <c r="H114" s="11"/>
    </row>
    <row r="115" spans="1:8" x14ac:dyDescent="0.25">
      <c r="A115" s="11"/>
      <c r="B115" s="11"/>
      <c r="C115" s="11"/>
      <c r="D115" s="11"/>
      <c r="E115" s="11"/>
      <c r="F115" s="11"/>
      <c r="G115" s="11"/>
      <c r="H115" s="11"/>
    </row>
    <row r="116" spans="1:8" x14ac:dyDescent="0.25">
      <c r="A116" s="11"/>
      <c r="B116" s="11"/>
      <c r="C116" s="11"/>
      <c r="D116" s="11"/>
      <c r="E116" s="11"/>
      <c r="F116" s="11"/>
      <c r="G116" s="11"/>
      <c r="H116" s="11"/>
    </row>
    <row r="117" spans="1:8" x14ac:dyDescent="0.25">
      <c r="A117" s="11"/>
      <c r="B117" s="11"/>
      <c r="C117" s="11"/>
      <c r="D117" s="11"/>
      <c r="E117" s="11"/>
      <c r="F117" s="11"/>
      <c r="G117" s="11"/>
      <c r="H117" s="11"/>
    </row>
    <row r="118" spans="1:8" x14ac:dyDescent="0.25">
      <c r="A118" s="11"/>
      <c r="B118" s="11"/>
      <c r="C118" s="11"/>
      <c r="D118" s="11"/>
      <c r="E118" s="11"/>
      <c r="F118" s="11"/>
      <c r="G118" s="11"/>
      <c r="H118" s="11"/>
    </row>
    <row r="119" spans="1:8" x14ac:dyDescent="0.25">
      <c r="A119" s="11"/>
      <c r="B119" s="11"/>
      <c r="C119" s="11"/>
      <c r="D119" s="11"/>
      <c r="E119" s="11"/>
      <c r="F119" s="11"/>
      <c r="G119" s="11"/>
      <c r="H119" s="11"/>
    </row>
    <row r="120" spans="1:8" x14ac:dyDescent="0.25">
      <c r="A120" s="11"/>
      <c r="B120" s="11"/>
      <c r="C120" s="11"/>
      <c r="D120" s="11"/>
      <c r="E120" s="11"/>
      <c r="F120" s="11"/>
      <c r="G120" s="11"/>
      <c r="H120" s="11"/>
    </row>
    <row r="121" spans="1:8" x14ac:dyDescent="0.25">
      <c r="A121" s="11"/>
      <c r="B121" s="11"/>
      <c r="C121" s="11"/>
      <c r="D121" s="11"/>
      <c r="E121" s="11"/>
      <c r="F121" s="11"/>
      <c r="G121" s="11"/>
      <c r="H121" s="11"/>
    </row>
    <row r="122" spans="1:8" x14ac:dyDescent="0.25">
      <c r="A122" s="11"/>
      <c r="B122" s="11"/>
      <c r="C122" s="11"/>
      <c r="D122" s="11"/>
      <c r="E122" s="11"/>
      <c r="F122" s="11"/>
      <c r="G122" s="11"/>
      <c r="H122" s="11"/>
    </row>
    <row r="123" spans="1:8" x14ac:dyDescent="0.25">
      <c r="A123" s="11"/>
      <c r="B123" s="11"/>
      <c r="C123" s="11"/>
      <c r="D123" s="11"/>
      <c r="E123" s="11"/>
      <c r="F123" s="11"/>
      <c r="G123" s="11"/>
      <c r="H123" s="11"/>
    </row>
    <row r="124" spans="1:8" x14ac:dyDescent="0.25">
      <c r="A124" s="11"/>
      <c r="B124" s="11"/>
      <c r="C124" s="11"/>
      <c r="D124" s="11"/>
      <c r="E124" s="11"/>
      <c r="F124" s="11"/>
      <c r="G124" s="11"/>
      <c r="H124" s="11"/>
    </row>
    <row r="125" spans="1:8" x14ac:dyDescent="0.25">
      <c r="A125" s="11"/>
      <c r="B125" s="11"/>
      <c r="C125" s="11"/>
      <c r="D125" s="11"/>
      <c r="E125" s="11"/>
      <c r="F125" s="11"/>
      <c r="G125" s="11"/>
      <c r="H125" s="11"/>
    </row>
    <row r="126" spans="1:8" x14ac:dyDescent="0.25">
      <c r="A126" s="11"/>
      <c r="B126" s="11"/>
      <c r="C126" s="11"/>
      <c r="D126" s="11"/>
      <c r="E126" s="11"/>
      <c r="F126" s="11"/>
      <c r="G126" s="11"/>
      <c r="H126" s="11"/>
    </row>
    <row r="127" spans="1:8" x14ac:dyDescent="0.25">
      <c r="A127" s="11"/>
      <c r="B127" s="11"/>
      <c r="C127" s="11"/>
      <c r="D127" s="11"/>
      <c r="E127" s="11"/>
      <c r="F127" s="11"/>
      <c r="G127" s="11"/>
      <c r="H127" s="11"/>
    </row>
    <row r="128" spans="1:8" x14ac:dyDescent="0.25">
      <c r="A128" s="11"/>
      <c r="B128" s="11"/>
      <c r="C128" s="11"/>
      <c r="D128" s="11"/>
      <c r="E128" s="11"/>
      <c r="F128" s="11"/>
      <c r="G128" s="11"/>
      <c r="H128" s="11"/>
    </row>
    <row r="129" spans="1:8" x14ac:dyDescent="0.25">
      <c r="A129" s="11"/>
      <c r="B129" s="11"/>
      <c r="C129" s="11"/>
      <c r="D129" s="11"/>
      <c r="E129" s="11"/>
      <c r="F129" s="11"/>
      <c r="G129" s="11"/>
      <c r="H129" s="11"/>
    </row>
    <row r="130" spans="1:8" x14ac:dyDescent="0.25">
      <c r="A130" s="11"/>
      <c r="B130" s="11"/>
      <c r="C130" s="11"/>
      <c r="D130" s="11"/>
      <c r="E130" s="11"/>
      <c r="F130" s="11"/>
      <c r="G130" s="11"/>
      <c r="H130" s="11"/>
    </row>
    <row r="131" spans="1:8" x14ac:dyDescent="0.25">
      <c r="A131" s="11"/>
      <c r="B131" s="11"/>
      <c r="C131" s="11"/>
      <c r="D131" s="11"/>
      <c r="E131" s="11"/>
      <c r="F131" s="11"/>
      <c r="G131" s="11"/>
      <c r="H131" s="11"/>
    </row>
    <row r="132" spans="1:8" x14ac:dyDescent="0.25">
      <c r="A132" s="11"/>
      <c r="B132" s="11"/>
      <c r="C132" s="11"/>
      <c r="D132" s="11"/>
      <c r="E132" s="11"/>
      <c r="F132" s="11"/>
      <c r="G132" s="11"/>
      <c r="H132" s="11"/>
    </row>
    <row r="133" spans="1:8" x14ac:dyDescent="0.25">
      <c r="A133" s="11"/>
      <c r="B133" s="11"/>
      <c r="C133" s="11"/>
      <c r="D133" s="11"/>
      <c r="E133" s="11"/>
      <c r="F133" s="11"/>
      <c r="G133" s="11"/>
      <c r="H133" s="11"/>
    </row>
    <row r="134" spans="1:8" x14ac:dyDescent="0.25">
      <c r="A134" s="11"/>
      <c r="B134" s="11"/>
      <c r="C134" s="11"/>
      <c r="D134" s="11"/>
      <c r="E134" s="11"/>
      <c r="F134" s="11"/>
      <c r="G134" s="11"/>
      <c r="H134" s="11"/>
    </row>
    <row r="135" spans="1:8" x14ac:dyDescent="0.25">
      <c r="A135" s="11"/>
      <c r="B135" s="11"/>
      <c r="C135" s="11"/>
      <c r="D135" s="11"/>
      <c r="E135" s="11"/>
      <c r="F135" s="11"/>
      <c r="G135" s="11"/>
      <c r="H135" s="11"/>
    </row>
    <row r="136" spans="1:8" x14ac:dyDescent="0.25">
      <c r="A136" s="11"/>
      <c r="B136" s="11"/>
      <c r="C136" s="11"/>
      <c r="D136" s="11"/>
      <c r="E136" s="11"/>
      <c r="F136" s="11"/>
      <c r="G136" s="11"/>
      <c r="H136" s="11"/>
    </row>
    <row r="137" spans="1:8" x14ac:dyDescent="0.25">
      <c r="A137" s="11"/>
      <c r="B137" s="11"/>
      <c r="C137" s="11"/>
      <c r="D137" s="11"/>
      <c r="E137" s="11"/>
      <c r="F137" s="11"/>
      <c r="G137" s="11"/>
      <c r="H137" s="11"/>
    </row>
    <row r="138" spans="1:8" x14ac:dyDescent="0.25">
      <c r="A138" s="11"/>
      <c r="B138" s="11"/>
      <c r="C138" s="11"/>
      <c r="D138" s="11"/>
      <c r="E138" s="11"/>
      <c r="F138" s="11"/>
      <c r="G138" s="11"/>
      <c r="H138" s="11"/>
    </row>
    <row r="139" spans="1:8" x14ac:dyDescent="0.25">
      <c r="A139" s="11"/>
      <c r="B139" s="11"/>
      <c r="C139" s="11"/>
      <c r="D139" s="11"/>
      <c r="E139" s="11"/>
      <c r="F139" s="11"/>
      <c r="G139" s="11"/>
      <c r="H139" s="11"/>
    </row>
    <row r="140" spans="1:8" x14ac:dyDescent="0.25">
      <c r="A140" s="11"/>
      <c r="B140" s="11"/>
      <c r="C140" s="11"/>
      <c r="D140" s="11"/>
      <c r="E140" s="11"/>
      <c r="F140" s="11"/>
      <c r="G140" s="11"/>
      <c r="H140" s="11"/>
    </row>
    <row r="141" spans="1:8" x14ac:dyDescent="0.25">
      <c r="A141" s="11"/>
      <c r="B141" s="11"/>
      <c r="C141" s="11"/>
      <c r="D141" s="11"/>
      <c r="E141" s="11"/>
      <c r="F141" s="11"/>
      <c r="G141" s="11"/>
      <c r="H141" s="11"/>
    </row>
    <row r="142" spans="1:8" x14ac:dyDescent="0.25">
      <c r="A142" s="11"/>
      <c r="B142" s="11"/>
      <c r="C142" s="11"/>
      <c r="D142" s="11"/>
      <c r="E142" s="11"/>
      <c r="F142" s="11"/>
      <c r="G142" s="11"/>
      <c r="H142" s="11"/>
    </row>
    <row r="143" spans="1:8" x14ac:dyDescent="0.25">
      <c r="A143" s="11"/>
      <c r="B143" s="11"/>
      <c r="C143" s="11"/>
      <c r="D143" s="11"/>
      <c r="E143" s="11"/>
      <c r="F143" s="11"/>
      <c r="G143" s="11"/>
      <c r="H143" s="11"/>
    </row>
    <row r="144" spans="1:8" x14ac:dyDescent="0.25">
      <c r="A144" s="11"/>
      <c r="B144" s="11"/>
      <c r="C144" s="11"/>
      <c r="D144" s="11"/>
      <c r="E144" s="11"/>
      <c r="F144" s="11"/>
      <c r="G144" s="11"/>
      <c r="H144" s="11"/>
    </row>
    <row r="145" spans="1:8" x14ac:dyDescent="0.25">
      <c r="A145" s="11"/>
      <c r="B145" s="11"/>
      <c r="C145" s="11"/>
      <c r="D145" s="11"/>
      <c r="E145" s="11"/>
      <c r="F145" s="11"/>
      <c r="G145" s="11"/>
      <c r="H145" s="11"/>
    </row>
    <row r="146" spans="1:8" x14ac:dyDescent="0.25">
      <c r="A146" s="11"/>
      <c r="B146" s="11"/>
      <c r="C146" s="11"/>
      <c r="D146" s="11"/>
      <c r="E146" s="11"/>
      <c r="F146" s="11"/>
      <c r="G146" s="11"/>
      <c r="H146" s="11"/>
    </row>
    <row r="147" spans="1:8" x14ac:dyDescent="0.25">
      <c r="A147" s="11"/>
      <c r="B147" s="11"/>
      <c r="C147" s="11"/>
      <c r="D147" s="11"/>
      <c r="E147" s="11"/>
      <c r="F147" s="11"/>
      <c r="G147" s="11"/>
      <c r="H147" s="11"/>
    </row>
    <row r="148" spans="1:8" x14ac:dyDescent="0.25">
      <c r="A148" s="11"/>
      <c r="B148" s="11"/>
      <c r="C148" s="11"/>
      <c r="D148" s="11"/>
      <c r="E148" s="11"/>
      <c r="F148" s="11"/>
      <c r="G148" s="11"/>
      <c r="H148" s="11"/>
    </row>
    <row r="149" spans="1:8" x14ac:dyDescent="0.25">
      <c r="A149" s="11"/>
      <c r="B149" s="11"/>
      <c r="C149" s="11"/>
      <c r="D149" s="11"/>
      <c r="E149" s="11"/>
      <c r="F149" s="11"/>
      <c r="G149" s="11"/>
      <c r="H149" s="11"/>
    </row>
    <row r="150" spans="1:8" x14ac:dyDescent="0.25">
      <c r="A150" s="11"/>
      <c r="B150" s="11"/>
      <c r="C150" s="11"/>
      <c r="D150" s="11"/>
      <c r="E150" s="11"/>
      <c r="F150" s="11"/>
      <c r="G150" s="11"/>
      <c r="H150" s="11"/>
    </row>
    <row r="151" spans="1:8" x14ac:dyDescent="0.25">
      <c r="A151" s="11"/>
      <c r="B151" s="11"/>
      <c r="C151" s="11"/>
      <c r="D151" s="11"/>
      <c r="E151" s="11"/>
      <c r="F151" s="11"/>
      <c r="G151" s="11"/>
      <c r="H151" s="11"/>
    </row>
    <row r="152" spans="1:8" x14ac:dyDescent="0.25">
      <c r="A152" s="11"/>
      <c r="B152" s="11"/>
      <c r="C152" s="11"/>
      <c r="D152" s="11"/>
      <c r="E152" s="11"/>
      <c r="F152" s="11"/>
      <c r="G152" s="11"/>
      <c r="H152" s="11"/>
    </row>
    <row r="153" spans="1:8" x14ac:dyDescent="0.25">
      <c r="A153" s="11"/>
      <c r="B153" s="11"/>
      <c r="C153" s="11"/>
      <c r="D153" s="11"/>
      <c r="E153" s="11"/>
      <c r="F153" s="11"/>
      <c r="G153" s="11"/>
      <c r="H153" s="11"/>
    </row>
    <row r="154" spans="1:8" x14ac:dyDescent="0.25">
      <c r="A154" s="11"/>
      <c r="B154" s="11"/>
      <c r="C154" s="11"/>
      <c r="D154" s="11"/>
      <c r="E154" s="11"/>
      <c r="F154" s="11"/>
      <c r="G154" s="11"/>
      <c r="H154" s="11"/>
    </row>
    <row r="155" spans="1:8" x14ac:dyDescent="0.25">
      <c r="A155" s="11"/>
      <c r="B155" s="11"/>
      <c r="C155" s="11"/>
      <c r="D155" s="11"/>
      <c r="E155" s="11"/>
      <c r="F155" s="11"/>
      <c r="G155" s="11"/>
      <c r="H155" s="11"/>
    </row>
    <row r="156" spans="1:8" x14ac:dyDescent="0.25">
      <c r="A156" s="11"/>
      <c r="B156" s="11"/>
      <c r="C156" s="11"/>
      <c r="D156" s="11"/>
      <c r="E156" s="11"/>
      <c r="F156" s="11"/>
      <c r="G156" s="11"/>
      <c r="H156" s="11"/>
    </row>
    <row r="157" spans="1:8" x14ac:dyDescent="0.25">
      <c r="A157" s="11"/>
      <c r="B157" s="11"/>
      <c r="C157" s="11"/>
      <c r="D157" s="11"/>
      <c r="E157" s="11"/>
      <c r="F157" s="11"/>
      <c r="G157" s="11"/>
      <c r="H157" s="11"/>
    </row>
    <row r="158" spans="1:8" x14ac:dyDescent="0.25">
      <c r="A158" s="11"/>
      <c r="B158" s="11"/>
      <c r="C158" s="11"/>
      <c r="D158" s="11"/>
      <c r="E158" s="11"/>
      <c r="F158" s="11"/>
      <c r="G158" s="11"/>
      <c r="H158" s="11"/>
    </row>
    <row r="159" spans="1:8" x14ac:dyDescent="0.25">
      <c r="A159" s="11"/>
      <c r="B159" s="11"/>
      <c r="C159" s="11"/>
      <c r="D159" s="11"/>
      <c r="E159" s="11"/>
      <c r="F159" s="11"/>
      <c r="G159" s="11"/>
      <c r="H159" s="11"/>
    </row>
    <row r="160" spans="1:8" x14ac:dyDescent="0.25">
      <c r="A160" s="11"/>
      <c r="B160" s="11"/>
      <c r="C160" s="11"/>
      <c r="D160" s="11"/>
      <c r="E160" s="11"/>
      <c r="F160" s="11"/>
      <c r="G160" s="11"/>
      <c r="H160" s="11"/>
    </row>
    <row r="161" spans="1:8" x14ac:dyDescent="0.25">
      <c r="A161" s="11"/>
      <c r="B161" s="11"/>
      <c r="C161" s="11"/>
      <c r="D161" s="11"/>
      <c r="E161" s="11"/>
      <c r="F161" s="11"/>
      <c r="G161" s="11"/>
      <c r="H161" s="11"/>
    </row>
    <row r="162" spans="1:8" x14ac:dyDescent="0.25">
      <c r="A162" s="11"/>
      <c r="B162" s="11"/>
      <c r="C162" s="11"/>
      <c r="D162" s="11"/>
      <c r="E162" s="11"/>
      <c r="F162" s="11"/>
      <c r="G162" s="11"/>
      <c r="H162" s="11"/>
    </row>
    <row r="163" spans="1:8" x14ac:dyDescent="0.25">
      <c r="A163" s="11"/>
      <c r="B163" s="11"/>
      <c r="C163" s="11"/>
      <c r="D163" s="11"/>
      <c r="E163" s="11"/>
      <c r="F163" s="11"/>
      <c r="G163" s="11"/>
      <c r="H163" s="11"/>
    </row>
    <row r="164" spans="1:8" x14ac:dyDescent="0.25">
      <c r="A164" s="11"/>
      <c r="B164" s="11"/>
      <c r="C164" s="11"/>
      <c r="D164" s="11"/>
      <c r="E164" s="11"/>
      <c r="F164" s="11"/>
      <c r="G164" s="11"/>
      <c r="H164" s="11"/>
    </row>
    <row r="165" spans="1:8" x14ac:dyDescent="0.25">
      <c r="A165" s="11"/>
      <c r="B165" s="11"/>
      <c r="C165" s="11"/>
      <c r="D165" s="11"/>
      <c r="E165" s="11"/>
      <c r="F165" s="11"/>
      <c r="G165" s="11"/>
      <c r="H165" s="11"/>
    </row>
    <row r="166" spans="1:8" x14ac:dyDescent="0.25">
      <c r="A166" s="11"/>
      <c r="B166" s="11"/>
      <c r="C166" s="11"/>
      <c r="D166" s="11"/>
      <c r="E166" s="11"/>
      <c r="F166" s="11"/>
      <c r="G166" s="11"/>
      <c r="H166" s="11"/>
    </row>
    <row r="167" spans="1:8" x14ac:dyDescent="0.25">
      <c r="A167" s="11"/>
      <c r="B167" s="11"/>
      <c r="C167" s="11"/>
      <c r="D167" s="11"/>
      <c r="E167" s="11"/>
      <c r="F167" s="11"/>
      <c r="G167" s="11"/>
      <c r="H167" s="11"/>
    </row>
    <row r="168" spans="1:8" x14ac:dyDescent="0.25">
      <c r="A168" s="11"/>
      <c r="B168" s="11"/>
      <c r="C168" s="11"/>
      <c r="D168" s="11"/>
      <c r="E168" s="11"/>
      <c r="F168" s="11"/>
      <c r="G168" s="11"/>
      <c r="H168" s="11"/>
    </row>
    <row r="169" spans="1:8" x14ac:dyDescent="0.25">
      <c r="A169" s="11"/>
      <c r="B169" s="11"/>
      <c r="C169" s="11"/>
      <c r="D169" s="11"/>
      <c r="E169" s="11"/>
      <c r="F169" s="11"/>
      <c r="G169" s="11"/>
      <c r="H169" s="11"/>
    </row>
    <row r="170" spans="1:8" x14ac:dyDescent="0.25">
      <c r="A170" s="11"/>
      <c r="B170" s="11"/>
      <c r="C170" s="11"/>
      <c r="D170" s="11"/>
      <c r="E170" s="11"/>
      <c r="F170" s="11"/>
      <c r="G170" s="11"/>
      <c r="H170" s="11"/>
    </row>
    <row r="171" spans="1:8" x14ac:dyDescent="0.25">
      <c r="A171" s="11"/>
      <c r="B171" s="11"/>
      <c r="C171" s="11"/>
      <c r="D171" s="11"/>
      <c r="E171" s="11"/>
      <c r="F171" s="11"/>
      <c r="G171" s="11"/>
      <c r="H171" s="11"/>
    </row>
    <row r="172" spans="1:8" x14ac:dyDescent="0.25">
      <c r="A172" s="11"/>
      <c r="B172" s="11"/>
      <c r="C172" s="11"/>
      <c r="D172" s="11"/>
      <c r="E172" s="11"/>
      <c r="F172" s="11"/>
      <c r="G172" s="11"/>
      <c r="H172" s="11"/>
    </row>
    <row r="173" spans="1:8" x14ac:dyDescent="0.25">
      <c r="A173" s="11"/>
      <c r="B173" s="11"/>
      <c r="C173" s="11"/>
      <c r="D173" s="11"/>
      <c r="E173" s="11"/>
      <c r="F173" s="11"/>
      <c r="G173" s="11"/>
      <c r="H173" s="11"/>
    </row>
    <row r="174" spans="1:8" x14ac:dyDescent="0.25">
      <c r="A174" s="11"/>
      <c r="B174" s="11"/>
      <c r="C174" s="11"/>
      <c r="D174" s="11"/>
      <c r="E174" s="11"/>
      <c r="F174" s="11"/>
      <c r="G174" s="11"/>
      <c r="H174" s="11"/>
    </row>
    <row r="175" spans="1:8" x14ac:dyDescent="0.25">
      <c r="A175" s="11"/>
      <c r="B175" s="11"/>
      <c r="C175" s="11"/>
      <c r="D175" s="11"/>
      <c r="E175" s="11"/>
      <c r="F175" s="11"/>
      <c r="G175" s="11"/>
      <c r="H175" s="11"/>
    </row>
    <row r="176" spans="1:8" x14ac:dyDescent="0.25">
      <c r="A176" s="11"/>
      <c r="B176" s="11"/>
      <c r="C176" s="11"/>
      <c r="D176" s="11"/>
      <c r="E176" s="11"/>
      <c r="F176" s="11"/>
      <c r="G176" s="11"/>
      <c r="H176" s="11"/>
    </row>
    <row r="177" spans="1:8" x14ac:dyDescent="0.25">
      <c r="A177" s="11"/>
      <c r="B177" s="11"/>
      <c r="C177" s="11"/>
      <c r="D177" s="11"/>
      <c r="E177" s="11"/>
      <c r="F177" s="11"/>
      <c r="G177" s="11"/>
      <c r="H177" s="11"/>
    </row>
    <row r="178" spans="1:8" x14ac:dyDescent="0.25">
      <c r="A178" s="11"/>
      <c r="B178" s="11"/>
      <c r="C178" s="11"/>
      <c r="D178" s="11"/>
      <c r="E178" s="11"/>
      <c r="F178" s="11"/>
      <c r="G178" s="11"/>
      <c r="H178" s="11"/>
    </row>
    <row r="179" spans="1:8" x14ac:dyDescent="0.25">
      <c r="A179" s="11"/>
      <c r="B179" s="11"/>
      <c r="C179" s="11"/>
      <c r="D179" s="11"/>
      <c r="E179" s="11"/>
      <c r="F179" s="11"/>
      <c r="G179" s="11"/>
      <c r="H179" s="11"/>
    </row>
    <row r="180" spans="1:8" x14ac:dyDescent="0.25">
      <c r="A180" s="11"/>
      <c r="B180" s="11"/>
      <c r="C180" s="11"/>
      <c r="D180" s="11"/>
      <c r="E180" s="11"/>
      <c r="F180" s="11"/>
      <c r="G180" s="11"/>
      <c r="H180" s="11"/>
    </row>
    <row r="181" spans="1:8" x14ac:dyDescent="0.25">
      <c r="A181" s="11"/>
      <c r="B181" s="11"/>
      <c r="C181" s="11"/>
      <c r="D181" s="11"/>
      <c r="E181" s="11"/>
      <c r="F181" s="11"/>
      <c r="G181" s="11"/>
      <c r="H181" s="11"/>
    </row>
    <row r="182" spans="1:8" x14ac:dyDescent="0.25">
      <c r="A182" s="11"/>
      <c r="B182" s="11"/>
      <c r="C182" s="11"/>
      <c r="D182" s="11"/>
      <c r="E182" s="11"/>
      <c r="F182" s="11"/>
      <c r="G182" s="11"/>
      <c r="H182" s="11"/>
    </row>
    <row r="183" spans="1:8" x14ac:dyDescent="0.25">
      <c r="A183" s="11"/>
      <c r="B183" s="11"/>
      <c r="C183" s="11"/>
      <c r="D183" s="11"/>
      <c r="E183" s="11"/>
      <c r="F183" s="11"/>
      <c r="G183" s="11"/>
      <c r="H183" s="11"/>
    </row>
    <row r="184" spans="1:8" x14ac:dyDescent="0.25">
      <c r="A184" s="11"/>
      <c r="B184" s="11"/>
      <c r="C184" s="11"/>
      <c r="D184" s="11"/>
      <c r="E184" s="11"/>
      <c r="F184" s="11"/>
      <c r="G184" s="11"/>
      <c r="H184" s="11"/>
    </row>
    <row r="185" spans="1:8" x14ac:dyDescent="0.25">
      <c r="A185" s="11"/>
      <c r="B185" s="11"/>
      <c r="C185" s="11"/>
      <c r="D185" s="11"/>
      <c r="E185" s="11"/>
      <c r="F185" s="11"/>
      <c r="G185" s="11"/>
      <c r="H185" s="11"/>
    </row>
    <row r="186" spans="1:8" x14ac:dyDescent="0.25">
      <c r="A186" s="11"/>
      <c r="B186" s="11"/>
      <c r="C186" s="11"/>
      <c r="D186" s="11"/>
      <c r="E186" s="11"/>
      <c r="F186" s="11"/>
      <c r="G186" s="11"/>
      <c r="H186" s="11"/>
    </row>
    <row r="187" spans="1:8" x14ac:dyDescent="0.25">
      <c r="A187" s="11"/>
      <c r="B187" s="11"/>
      <c r="C187" s="11"/>
      <c r="D187" s="11"/>
      <c r="E187" s="11"/>
      <c r="F187" s="11"/>
      <c r="G187" s="11"/>
      <c r="H187" s="11"/>
    </row>
    <row r="188" spans="1:8" x14ac:dyDescent="0.25">
      <c r="A188" s="11"/>
      <c r="B188" s="11"/>
      <c r="C188" s="11"/>
      <c r="D188" s="11"/>
      <c r="E188" s="11"/>
      <c r="F188" s="11"/>
      <c r="G188" s="11"/>
      <c r="H188" s="11"/>
    </row>
    <row r="189" spans="1:8" x14ac:dyDescent="0.25">
      <c r="A189" s="11"/>
      <c r="B189" s="11"/>
      <c r="C189" s="11"/>
      <c r="D189" s="11"/>
      <c r="E189" s="11"/>
      <c r="F189" s="11"/>
      <c r="G189" s="11"/>
      <c r="H189" s="11"/>
    </row>
    <row r="190" spans="1:8" x14ac:dyDescent="0.25">
      <c r="A190" s="11"/>
      <c r="B190" s="11"/>
      <c r="C190" s="11"/>
      <c r="D190" s="11"/>
      <c r="E190" s="11"/>
      <c r="F190" s="11"/>
      <c r="G190" s="11"/>
      <c r="H190" s="11"/>
    </row>
    <row r="191" spans="1:8" x14ac:dyDescent="0.25">
      <c r="A191" s="11"/>
      <c r="B191" s="11"/>
      <c r="C191" s="11"/>
      <c r="D191" s="11"/>
      <c r="E191" s="11"/>
      <c r="F191" s="11"/>
      <c r="G191" s="11"/>
      <c r="H191" s="11"/>
    </row>
    <row r="192" spans="1:8" x14ac:dyDescent="0.25">
      <c r="A192" s="11"/>
      <c r="B192" s="11"/>
      <c r="C192" s="11"/>
      <c r="D192" s="11"/>
      <c r="E192" s="11"/>
      <c r="F192" s="11"/>
      <c r="G192" s="11"/>
      <c r="H192" s="11"/>
    </row>
    <row r="193" spans="1:8" x14ac:dyDescent="0.25">
      <c r="A193" s="11"/>
      <c r="B193" s="11"/>
      <c r="C193" s="11"/>
      <c r="D193" s="11"/>
      <c r="E193" s="11"/>
      <c r="F193" s="11"/>
      <c r="G193" s="11"/>
      <c r="H193" s="11"/>
    </row>
    <row r="194" spans="1:8" x14ac:dyDescent="0.25">
      <c r="A194" s="11"/>
      <c r="B194" s="11"/>
      <c r="C194" s="11"/>
      <c r="D194" s="11"/>
      <c r="E194" s="11"/>
      <c r="F194" s="11"/>
      <c r="G194" s="11"/>
      <c r="H194" s="11"/>
    </row>
    <row r="195" spans="1:8" x14ac:dyDescent="0.25">
      <c r="A195" s="11"/>
      <c r="B195" s="11"/>
      <c r="C195" s="11"/>
      <c r="D195" s="11"/>
      <c r="E195" s="11"/>
      <c r="F195" s="11"/>
      <c r="G195" s="11"/>
      <c r="H195" s="11"/>
    </row>
    <row r="196" spans="1:8" x14ac:dyDescent="0.25">
      <c r="A196" s="11"/>
      <c r="B196" s="11"/>
      <c r="C196" s="11"/>
      <c r="D196" s="11"/>
      <c r="E196" s="11"/>
      <c r="F196" s="11"/>
      <c r="G196" s="11"/>
      <c r="H196" s="11"/>
    </row>
    <row r="197" spans="1:8" x14ac:dyDescent="0.25">
      <c r="A197" s="11"/>
      <c r="B197" s="11"/>
      <c r="C197" s="11"/>
      <c r="D197" s="11"/>
      <c r="E197" s="11"/>
      <c r="F197" s="11"/>
      <c r="G197" s="11"/>
      <c r="H197" s="11"/>
    </row>
    <row r="198" spans="1:8" x14ac:dyDescent="0.25">
      <c r="A198" s="11"/>
      <c r="B198" s="11"/>
      <c r="C198" s="11"/>
      <c r="D198" s="11"/>
      <c r="E198" s="11"/>
      <c r="F198" s="11"/>
      <c r="G198" s="11"/>
      <c r="H198" s="11"/>
    </row>
    <row r="199" spans="1:8" x14ac:dyDescent="0.25">
      <c r="A199" s="11"/>
      <c r="B199" s="11"/>
      <c r="C199" s="11"/>
      <c r="D199" s="11"/>
      <c r="E199" s="11"/>
      <c r="F199" s="11"/>
      <c r="G199" s="11"/>
      <c r="H199" s="11"/>
    </row>
    <row r="200" spans="1:8" x14ac:dyDescent="0.25">
      <c r="A200" s="11"/>
      <c r="B200" s="11"/>
      <c r="C200" s="11"/>
      <c r="D200" s="11"/>
      <c r="E200" s="11"/>
      <c r="F200" s="11"/>
      <c r="G200" s="11"/>
      <c r="H200" s="11"/>
    </row>
    <row r="201" spans="1:8" x14ac:dyDescent="0.25">
      <c r="A201" s="11"/>
      <c r="B201" s="11"/>
      <c r="C201" s="11"/>
      <c r="D201" s="11"/>
      <c r="E201" s="11"/>
      <c r="F201" s="11"/>
      <c r="G201" s="11"/>
      <c r="H201" s="11"/>
    </row>
    <row r="202" spans="1:8" x14ac:dyDescent="0.25">
      <c r="A202" s="11"/>
      <c r="B202" s="11"/>
      <c r="C202" s="11"/>
      <c r="D202" s="11"/>
      <c r="E202" s="11"/>
      <c r="F202" s="11"/>
      <c r="G202" s="11"/>
      <c r="H202" s="11"/>
    </row>
    <row r="203" spans="1:8" x14ac:dyDescent="0.25">
      <c r="A203" s="11"/>
      <c r="B203" s="11"/>
      <c r="C203" s="11"/>
      <c r="D203" s="11"/>
      <c r="E203" s="11"/>
      <c r="F203" s="11"/>
      <c r="G203" s="11"/>
      <c r="H203" s="11"/>
    </row>
    <row r="204" spans="1:8" x14ac:dyDescent="0.25">
      <c r="A204" s="11"/>
      <c r="B204" s="11"/>
      <c r="C204" s="11"/>
      <c r="D204" s="11"/>
      <c r="E204" s="11"/>
      <c r="F204" s="11"/>
      <c r="G204" s="11"/>
      <c r="H204" s="11"/>
    </row>
    <row r="205" spans="1:8" x14ac:dyDescent="0.25">
      <c r="A205" s="11"/>
      <c r="B205" s="11"/>
      <c r="C205" s="11"/>
      <c r="D205" s="11"/>
      <c r="E205" s="11"/>
      <c r="F205" s="11"/>
      <c r="G205" s="11"/>
      <c r="H205" s="11"/>
    </row>
    <row r="206" spans="1:8" x14ac:dyDescent="0.25">
      <c r="A206" s="11"/>
      <c r="B206" s="11"/>
      <c r="C206" s="11"/>
      <c r="D206" s="11"/>
      <c r="E206" s="11"/>
      <c r="F206" s="11"/>
      <c r="G206" s="11"/>
      <c r="H206" s="11"/>
    </row>
    <row r="207" spans="1:8" x14ac:dyDescent="0.25">
      <c r="A207" s="11"/>
      <c r="B207" s="11"/>
      <c r="C207" s="11"/>
      <c r="D207" s="11"/>
      <c r="E207" s="11"/>
      <c r="F207" s="11"/>
      <c r="G207" s="11"/>
      <c r="H207" s="11"/>
    </row>
    <row r="208" spans="1:8" x14ac:dyDescent="0.25">
      <c r="A208" s="11"/>
      <c r="B208" s="11"/>
      <c r="C208" s="11"/>
      <c r="D208" s="11"/>
      <c r="E208" s="11"/>
      <c r="F208" s="11"/>
      <c r="G208" s="11"/>
      <c r="H208" s="11"/>
    </row>
    <row r="209" spans="1:8" x14ac:dyDescent="0.25">
      <c r="A209" s="11"/>
      <c r="B209" s="11"/>
      <c r="C209" s="11"/>
      <c r="D209" s="11"/>
      <c r="E209" s="11"/>
      <c r="F209" s="11"/>
      <c r="G209" s="11"/>
      <c r="H209" s="11"/>
    </row>
    <row r="210" spans="1:8" x14ac:dyDescent="0.25">
      <c r="A210" s="11"/>
      <c r="B210" s="11"/>
      <c r="C210" s="11"/>
      <c r="D210" s="11"/>
      <c r="E210" s="11"/>
      <c r="F210" s="11"/>
      <c r="G210" s="11"/>
      <c r="H210" s="11"/>
    </row>
    <row r="211" spans="1:8" x14ac:dyDescent="0.25">
      <c r="A211" s="11"/>
      <c r="B211" s="11"/>
      <c r="C211" s="11"/>
      <c r="D211" s="11"/>
      <c r="E211" s="11"/>
      <c r="F211" s="11"/>
      <c r="G211" s="11"/>
      <c r="H211" s="11"/>
    </row>
    <row r="212" spans="1:8" x14ac:dyDescent="0.25">
      <c r="A212" s="11"/>
      <c r="B212" s="11"/>
      <c r="C212" s="11"/>
      <c r="D212" s="11"/>
      <c r="E212" s="11"/>
      <c r="F212" s="11"/>
      <c r="G212" s="11"/>
      <c r="H212" s="11"/>
    </row>
    <row r="213" spans="1:8" x14ac:dyDescent="0.25">
      <c r="A213" s="11"/>
      <c r="B213" s="11"/>
      <c r="C213" s="11"/>
      <c r="D213" s="11"/>
      <c r="E213" s="11"/>
      <c r="F213" s="11"/>
      <c r="G213" s="11"/>
      <c r="H213" s="11"/>
    </row>
    <row r="214" spans="1:8" x14ac:dyDescent="0.25">
      <c r="A214" s="11"/>
      <c r="B214" s="11"/>
      <c r="C214" s="11"/>
      <c r="D214" s="11"/>
      <c r="E214" s="11"/>
      <c r="F214" s="11"/>
      <c r="G214" s="11"/>
      <c r="H214" s="11"/>
    </row>
    <row r="215" spans="1:8" x14ac:dyDescent="0.25">
      <c r="A215" s="11"/>
      <c r="B215" s="11"/>
      <c r="C215" s="11"/>
      <c r="D215" s="11"/>
      <c r="E215" s="11"/>
      <c r="F215" s="11"/>
      <c r="G215" s="11"/>
      <c r="H215" s="11"/>
    </row>
    <row r="216" spans="1:8" x14ac:dyDescent="0.25">
      <c r="A216" s="11"/>
      <c r="B216" s="11"/>
      <c r="C216" s="11"/>
      <c r="D216" s="11"/>
      <c r="E216" s="11"/>
      <c r="F216" s="11"/>
      <c r="G216" s="11"/>
      <c r="H216" s="11"/>
    </row>
    <row r="217" spans="1:8" x14ac:dyDescent="0.25">
      <c r="A217" s="11"/>
      <c r="B217" s="11"/>
      <c r="C217" s="11"/>
      <c r="D217" s="11"/>
      <c r="E217" s="11"/>
      <c r="F217" s="11"/>
      <c r="G217" s="11"/>
      <c r="H217" s="11"/>
    </row>
    <row r="218" spans="1:8" x14ac:dyDescent="0.25">
      <c r="A218" s="11"/>
      <c r="B218" s="11"/>
      <c r="C218" s="11"/>
      <c r="D218" s="11"/>
      <c r="E218" s="11"/>
      <c r="F218" s="11"/>
      <c r="G218" s="11"/>
      <c r="H218" s="11"/>
    </row>
    <row r="219" spans="1:8" x14ac:dyDescent="0.25">
      <c r="A219" s="11"/>
      <c r="B219" s="11"/>
      <c r="C219" s="11"/>
      <c r="D219" s="11"/>
      <c r="E219" s="11"/>
      <c r="F219" s="11"/>
      <c r="G219" s="11"/>
      <c r="H219" s="11"/>
    </row>
    <row r="220" spans="1:8" x14ac:dyDescent="0.25">
      <c r="A220" s="11"/>
      <c r="B220" s="11"/>
      <c r="C220" s="11"/>
      <c r="D220" s="11"/>
      <c r="E220" s="11"/>
      <c r="F220" s="11"/>
      <c r="G220" s="11"/>
      <c r="H220" s="11"/>
    </row>
    <row r="221" spans="1:8" x14ac:dyDescent="0.25">
      <c r="A221" s="11"/>
      <c r="B221" s="11"/>
      <c r="C221" s="11"/>
      <c r="D221" s="11"/>
      <c r="E221" s="11"/>
      <c r="F221" s="11"/>
      <c r="G221" s="11"/>
      <c r="H221" s="11"/>
    </row>
    <row r="222" spans="1:8" x14ac:dyDescent="0.25">
      <c r="A222" s="11"/>
      <c r="B222" s="11"/>
      <c r="C222" s="11"/>
      <c r="D222" s="11"/>
      <c r="E222" s="11"/>
      <c r="F222" s="11"/>
      <c r="G222" s="11"/>
      <c r="H222" s="11"/>
    </row>
    <row r="223" spans="1:8" x14ac:dyDescent="0.25">
      <c r="A223" s="11"/>
      <c r="B223" s="11"/>
      <c r="C223" s="11"/>
      <c r="D223" s="11"/>
      <c r="E223" s="11"/>
      <c r="F223" s="11"/>
      <c r="G223" s="11"/>
      <c r="H223" s="11"/>
    </row>
    <row r="224" spans="1:8" x14ac:dyDescent="0.25">
      <c r="A224" s="11"/>
      <c r="B224" s="11"/>
      <c r="C224" s="11"/>
      <c r="D224" s="11"/>
      <c r="E224" s="11"/>
      <c r="F224" s="11"/>
      <c r="G224" s="11"/>
      <c r="H224" s="11"/>
    </row>
    <row r="225" spans="1:8" x14ac:dyDescent="0.25">
      <c r="A225" s="11"/>
      <c r="B225" s="11"/>
      <c r="C225" s="11"/>
      <c r="D225" s="11"/>
      <c r="E225" s="11"/>
      <c r="F225" s="11"/>
      <c r="G225" s="11"/>
      <c r="H225" s="11"/>
    </row>
    <row r="226" spans="1:8" x14ac:dyDescent="0.25">
      <c r="A226" s="11"/>
      <c r="B226" s="11"/>
      <c r="C226" s="11"/>
      <c r="D226" s="11"/>
      <c r="E226" s="11"/>
      <c r="F226" s="11"/>
      <c r="G226" s="11"/>
      <c r="H226" s="11"/>
    </row>
    <row r="227" spans="1:8" x14ac:dyDescent="0.25">
      <c r="A227" s="11"/>
      <c r="B227" s="11"/>
      <c r="C227" s="11"/>
      <c r="D227" s="11"/>
      <c r="E227" s="11"/>
      <c r="F227" s="11"/>
      <c r="G227" s="11"/>
      <c r="H227" s="11"/>
    </row>
    <row r="228" spans="1:8" x14ac:dyDescent="0.25">
      <c r="A228" s="11"/>
      <c r="B228" s="11"/>
      <c r="C228" s="11"/>
      <c r="D228" s="11"/>
      <c r="E228" s="11"/>
      <c r="F228" s="11"/>
      <c r="G228" s="11"/>
      <c r="H228" s="11"/>
    </row>
    <row r="229" spans="1:8" x14ac:dyDescent="0.25">
      <c r="A229" s="11"/>
      <c r="B229" s="11"/>
      <c r="C229" s="11"/>
      <c r="D229" s="11"/>
      <c r="E229" s="11"/>
      <c r="F229" s="11"/>
      <c r="G229" s="11"/>
      <c r="H229" s="11"/>
    </row>
    <row r="230" spans="1:8" x14ac:dyDescent="0.25">
      <c r="A230" s="11"/>
      <c r="B230" s="11"/>
      <c r="C230" s="11"/>
      <c r="D230" s="11"/>
      <c r="E230" s="11"/>
      <c r="F230" s="11"/>
      <c r="G230" s="11"/>
      <c r="H230" s="11"/>
    </row>
    <row r="231" spans="1:8" x14ac:dyDescent="0.25">
      <c r="A231" s="11"/>
      <c r="B231" s="11"/>
      <c r="C231" s="11"/>
      <c r="D231" s="11"/>
      <c r="E231" s="11"/>
      <c r="F231" s="11"/>
      <c r="G231" s="11"/>
      <c r="H231" s="11"/>
    </row>
    <row r="232" spans="1:8" x14ac:dyDescent="0.25">
      <c r="A232" s="11"/>
      <c r="B232" s="11"/>
      <c r="C232" s="11"/>
      <c r="D232" s="11"/>
      <c r="E232" s="11"/>
      <c r="F232" s="11"/>
      <c r="G232" s="11"/>
      <c r="H232" s="11"/>
    </row>
    <row r="233" spans="1:8" x14ac:dyDescent="0.25">
      <c r="A233" s="11"/>
      <c r="B233" s="11"/>
      <c r="C233" s="11"/>
      <c r="D233" s="11"/>
      <c r="E233" s="11"/>
      <c r="F233" s="11"/>
      <c r="G233" s="11"/>
      <c r="H233" s="11"/>
    </row>
    <row r="234" spans="1:8" x14ac:dyDescent="0.25">
      <c r="A234" s="11"/>
      <c r="B234" s="11"/>
      <c r="C234" s="11"/>
      <c r="D234" s="11"/>
      <c r="E234" s="11"/>
      <c r="F234" s="11"/>
      <c r="G234" s="11"/>
      <c r="H234" s="11"/>
    </row>
    <row r="235" spans="1:8" x14ac:dyDescent="0.25">
      <c r="A235" s="11"/>
      <c r="B235" s="11"/>
      <c r="C235" s="11"/>
      <c r="D235" s="11"/>
      <c r="E235" s="11"/>
      <c r="F235" s="11"/>
      <c r="G235" s="11"/>
      <c r="H235" s="11"/>
    </row>
    <row r="236" spans="1:8" x14ac:dyDescent="0.25">
      <c r="A236" s="11"/>
      <c r="B236" s="11"/>
      <c r="C236" s="11"/>
      <c r="D236" s="11"/>
      <c r="E236" s="11"/>
      <c r="F236" s="11"/>
      <c r="G236" s="11"/>
      <c r="H236" s="11"/>
    </row>
    <row r="237" spans="1:8" x14ac:dyDescent="0.25">
      <c r="A237" s="11"/>
      <c r="B237" s="11"/>
      <c r="C237" s="11"/>
      <c r="D237" s="11"/>
      <c r="E237" s="11"/>
      <c r="F237" s="11"/>
      <c r="G237" s="11"/>
      <c r="H237" s="11"/>
    </row>
    <row r="238" spans="1:8" x14ac:dyDescent="0.25">
      <c r="A238" s="11"/>
      <c r="B238" s="11"/>
      <c r="C238" s="11"/>
      <c r="D238" s="11"/>
      <c r="E238" s="11"/>
      <c r="F238" s="11"/>
      <c r="G238" s="11"/>
      <c r="H238" s="11"/>
    </row>
    <row r="239" spans="1:8" x14ac:dyDescent="0.25">
      <c r="A239" s="11"/>
      <c r="B239" s="11"/>
      <c r="C239" s="11"/>
      <c r="D239" s="11"/>
      <c r="E239" s="11"/>
      <c r="F239" s="11"/>
      <c r="G239" s="11"/>
      <c r="H239" s="11"/>
    </row>
    <row r="240" spans="1:8" x14ac:dyDescent="0.25">
      <c r="A240" s="11"/>
      <c r="B240" s="11"/>
      <c r="C240" s="11"/>
      <c r="D240" s="11"/>
      <c r="E240" s="11"/>
      <c r="F240" s="11"/>
      <c r="G240" s="11"/>
      <c r="H240" s="11"/>
    </row>
    <row r="241" spans="1:8" x14ac:dyDescent="0.25">
      <c r="A241" s="11"/>
      <c r="B241" s="11"/>
      <c r="C241" s="11"/>
      <c r="D241" s="11"/>
      <c r="E241" s="11"/>
      <c r="F241" s="11"/>
      <c r="G241" s="11"/>
      <c r="H241" s="11"/>
    </row>
    <row r="242" spans="1:8" x14ac:dyDescent="0.25">
      <c r="A242" s="11"/>
      <c r="B242" s="11"/>
      <c r="C242" s="11"/>
      <c r="D242" s="11"/>
      <c r="E242" s="11"/>
      <c r="F242" s="11"/>
      <c r="G242" s="11"/>
      <c r="H242" s="11"/>
    </row>
    <row r="243" spans="1:8" x14ac:dyDescent="0.25">
      <c r="A243" s="11"/>
      <c r="B243" s="11"/>
      <c r="C243" s="11"/>
      <c r="D243" s="11"/>
      <c r="E243" s="11"/>
      <c r="F243" s="11"/>
      <c r="G243" s="11"/>
      <c r="H243" s="11"/>
    </row>
    <row r="244" spans="1:8" x14ac:dyDescent="0.25">
      <c r="A244" s="11"/>
      <c r="B244" s="11"/>
      <c r="C244" s="11"/>
      <c r="D244" s="11"/>
      <c r="E244" s="11"/>
      <c r="F244" s="11"/>
      <c r="G244" s="11"/>
      <c r="H244" s="11"/>
    </row>
    <row r="245" spans="1:8" x14ac:dyDescent="0.25">
      <c r="A245" s="11"/>
      <c r="B245" s="11"/>
      <c r="C245" s="11"/>
      <c r="D245" s="11"/>
      <c r="E245" s="11"/>
      <c r="F245" s="11"/>
      <c r="G245" s="11"/>
      <c r="H245" s="11"/>
    </row>
    <row r="246" spans="1:8" x14ac:dyDescent="0.25">
      <c r="A246" s="11"/>
      <c r="B246" s="11"/>
      <c r="C246" s="11"/>
      <c r="D246" s="11"/>
      <c r="E246" s="11"/>
      <c r="F246" s="11"/>
      <c r="G246" s="11"/>
      <c r="H246" s="11"/>
    </row>
    <row r="247" spans="1:8" x14ac:dyDescent="0.25">
      <c r="A247" s="11"/>
      <c r="B247" s="11"/>
      <c r="C247" s="11"/>
      <c r="D247" s="11"/>
      <c r="E247" s="11"/>
      <c r="F247" s="11"/>
      <c r="G247" s="11"/>
      <c r="H247" s="11"/>
    </row>
    <row r="248" spans="1:8" x14ac:dyDescent="0.25">
      <c r="A248" s="11"/>
      <c r="B248" s="11"/>
      <c r="C248" s="11"/>
      <c r="D248" s="11"/>
      <c r="E248" s="11"/>
      <c r="F248" s="11"/>
      <c r="G248" s="11"/>
      <c r="H248" s="11"/>
    </row>
    <row r="249" spans="1:8" x14ac:dyDescent="0.25">
      <c r="A249" s="11"/>
      <c r="B249" s="11"/>
      <c r="C249" s="11"/>
      <c r="D249" s="11"/>
      <c r="E249" s="11"/>
      <c r="F249" s="11"/>
      <c r="G249" s="11"/>
      <c r="H249" s="11"/>
    </row>
    <row r="250" spans="1:8" x14ac:dyDescent="0.25">
      <c r="A250" s="11"/>
      <c r="B250" s="11"/>
      <c r="C250" s="11"/>
      <c r="D250" s="11"/>
      <c r="E250" s="11"/>
      <c r="F250" s="11"/>
      <c r="G250" s="11"/>
      <c r="H250" s="11"/>
    </row>
    <row r="251" spans="1:8" x14ac:dyDescent="0.25">
      <c r="A251" s="11"/>
      <c r="B251" s="11"/>
      <c r="C251" s="11"/>
      <c r="D251" s="11"/>
      <c r="E251" s="11"/>
      <c r="F251" s="11"/>
      <c r="G251" s="11"/>
      <c r="H251" s="11"/>
    </row>
    <row r="252" spans="1:8" x14ac:dyDescent="0.25">
      <c r="A252" s="11"/>
      <c r="B252" s="11"/>
      <c r="C252" s="11"/>
      <c r="D252" s="11"/>
      <c r="E252" s="11"/>
      <c r="F252" s="11"/>
      <c r="G252" s="11"/>
      <c r="H252" s="11"/>
    </row>
    <row r="253" spans="1:8" x14ac:dyDescent="0.25">
      <c r="A253" s="11"/>
      <c r="B253" s="11"/>
      <c r="C253" s="11"/>
      <c r="D253" s="11"/>
      <c r="E253" s="11"/>
      <c r="F253" s="11"/>
      <c r="G253" s="11"/>
      <c r="H253" s="11"/>
    </row>
    <row r="254" spans="1:8" x14ac:dyDescent="0.25">
      <c r="A254" s="11"/>
      <c r="B254" s="11"/>
      <c r="C254" s="11"/>
      <c r="D254" s="11"/>
      <c r="E254" s="11"/>
      <c r="F254" s="11"/>
      <c r="G254" s="11"/>
      <c r="H254" s="11"/>
    </row>
    <row r="255" spans="1:8" x14ac:dyDescent="0.25">
      <c r="A255" s="11"/>
      <c r="B255" s="11"/>
      <c r="C255" s="11"/>
      <c r="D255" s="11"/>
      <c r="E255" s="11"/>
      <c r="F255" s="11"/>
      <c r="G255" s="11"/>
      <c r="H255" s="11"/>
    </row>
    <row r="256" spans="1:8" x14ac:dyDescent="0.25">
      <c r="A256" s="11"/>
      <c r="B256" s="11"/>
      <c r="C256" s="11"/>
      <c r="D256" s="11"/>
      <c r="E256" s="11"/>
      <c r="F256" s="11"/>
      <c r="G256" s="11"/>
      <c r="H256" s="11"/>
    </row>
    <row r="257" spans="1:8" x14ac:dyDescent="0.25">
      <c r="A257" s="11"/>
      <c r="B257" s="11"/>
      <c r="C257" s="11"/>
      <c r="D257" s="11"/>
      <c r="E257" s="11"/>
      <c r="F257" s="11"/>
      <c r="G257" s="11"/>
      <c r="H257" s="11"/>
    </row>
    <row r="258" spans="1:8" x14ac:dyDescent="0.25">
      <c r="A258" s="11"/>
      <c r="B258" s="11"/>
      <c r="C258" s="11"/>
      <c r="D258" s="11"/>
      <c r="E258" s="11"/>
      <c r="F258" s="11"/>
      <c r="G258" s="11"/>
      <c r="H258" s="11"/>
    </row>
    <row r="259" spans="1:8" x14ac:dyDescent="0.25">
      <c r="A259" s="11"/>
      <c r="B259" s="11"/>
      <c r="C259" s="11"/>
      <c r="D259" s="11"/>
      <c r="E259" s="11"/>
      <c r="F259" s="11"/>
      <c r="G259" s="11"/>
      <c r="H259" s="11"/>
    </row>
    <row r="260" spans="1:8" x14ac:dyDescent="0.25">
      <c r="A260" s="11"/>
      <c r="B260" s="11"/>
      <c r="C260" s="11"/>
      <c r="D260" s="11"/>
      <c r="E260" s="11"/>
      <c r="F260" s="11"/>
      <c r="G260" s="11"/>
      <c r="H260" s="11"/>
    </row>
    <row r="261" spans="1:8" x14ac:dyDescent="0.25">
      <c r="A261" s="11"/>
      <c r="B261" s="11"/>
      <c r="C261" s="11"/>
      <c r="D261" s="11"/>
      <c r="E261" s="11"/>
      <c r="F261" s="11"/>
      <c r="G261" s="11"/>
      <c r="H261" s="11"/>
    </row>
    <row r="262" spans="1:8" x14ac:dyDescent="0.25">
      <c r="A262" s="11"/>
      <c r="B262" s="11"/>
      <c r="C262" s="11"/>
      <c r="D262" s="11"/>
      <c r="E262" s="11"/>
      <c r="F262" s="11"/>
      <c r="G262" s="11"/>
      <c r="H262" s="11"/>
    </row>
    <row r="263" spans="1:8" x14ac:dyDescent="0.25">
      <c r="A263" s="11"/>
      <c r="B263" s="11"/>
      <c r="C263" s="11"/>
      <c r="D263" s="11"/>
      <c r="E263" s="11"/>
      <c r="F263" s="11"/>
      <c r="G263" s="11"/>
      <c r="H263" s="11"/>
    </row>
    <row r="264" spans="1:8" x14ac:dyDescent="0.25">
      <c r="A264" s="11"/>
      <c r="B264" s="11"/>
      <c r="C264" s="11"/>
      <c r="D264" s="11"/>
      <c r="E264" s="11"/>
      <c r="F264" s="11"/>
      <c r="G264" s="11"/>
      <c r="H264" s="11"/>
    </row>
    <row r="265" spans="1:8" x14ac:dyDescent="0.25">
      <c r="A265" s="11"/>
      <c r="B265" s="11"/>
      <c r="C265" s="11"/>
      <c r="D265" s="11"/>
      <c r="E265" s="11"/>
      <c r="F265" s="11"/>
      <c r="G265" s="11"/>
      <c r="H265" s="11"/>
    </row>
    <row r="266" spans="1:8" x14ac:dyDescent="0.25">
      <c r="A266" s="11"/>
      <c r="B266" s="11"/>
      <c r="C266" s="11"/>
      <c r="D266" s="11"/>
      <c r="E266" s="11"/>
      <c r="F266" s="11"/>
      <c r="G266" s="11"/>
      <c r="H266" s="11"/>
    </row>
    <row r="267" spans="1:8" x14ac:dyDescent="0.25">
      <c r="A267" s="11"/>
      <c r="B267" s="11"/>
      <c r="C267" s="11"/>
      <c r="D267" s="11"/>
      <c r="E267" s="11"/>
      <c r="F267" s="11"/>
      <c r="G267" s="11"/>
      <c r="H267" s="11"/>
    </row>
    <row r="268" spans="1:8" x14ac:dyDescent="0.25">
      <c r="A268" s="11"/>
      <c r="B268" s="11"/>
      <c r="C268" s="11"/>
      <c r="D268" s="11"/>
      <c r="E268" s="11"/>
      <c r="F268" s="11"/>
      <c r="G268" s="11"/>
      <c r="H268" s="11"/>
    </row>
    <row r="269" spans="1:8" x14ac:dyDescent="0.25">
      <c r="A269" s="11"/>
      <c r="B269" s="11"/>
      <c r="C269" s="11"/>
      <c r="D269" s="11"/>
      <c r="E269" s="11"/>
      <c r="F269" s="11"/>
      <c r="G269" s="11"/>
      <c r="H269" s="11"/>
    </row>
    <row r="270" spans="1:8" x14ac:dyDescent="0.25">
      <c r="A270" s="11"/>
      <c r="B270" s="11"/>
      <c r="C270" s="11"/>
      <c r="D270" s="11"/>
      <c r="E270" s="11"/>
      <c r="F270" s="11"/>
      <c r="G270" s="11"/>
      <c r="H270" s="11"/>
    </row>
    <row r="271" spans="1:8" x14ac:dyDescent="0.25">
      <c r="A271" s="11"/>
      <c r="B271" s="11"/>
      <c r="C271" s="11"/>
      <c r="D271" s="11"/>
      <c r="E271" s="11"/>
      <c r="F271" s="11"/>
      <c r="G271" s="11"/>
      <c r="H271" s="11"/>
    </row>
    <row r="272" spans="1:8" x14ac:dyDescent="0.25">
      <c r="A272" s="11"/>
      <c r="B272" s="11"/>
      <c r="C272" s="11"/>
      <c r="D272" s="11"/>
      <c r="E272" s="11"/>
      <c r="F272" s="11"/>
      <c r="G272" s="11"/>
      <c r="H272" s="11"/>
    </row>
    <row r="273" spans="1:8" x14ac:dyDescent="0.25">
      <c r="A273" s="11"/>
      <c r="B273" s="11"/>
      <c r="C273" s="11"/>
      <c r="D273" s="11"/>
      <c r="E273" s="11"/>
      <c r="F273" s="11"/>
      <c r="G273" s="11"/>
      <c r="H273" s="11"/>
    </row>
    <row r="274" spans="1:8" x14ac:dyDescent="0.25">
      <c r="A274" s="11"/>
      <c r="B274" s="11"/>
      <c r="C274" s="11"/>
      <c r="D274" s="11"/>
      <c r="E274" s="11"/>
      <c r="F274" s="11"/>
      <c r="G274" s="11"/>
      <c r="H274" s="11"/>
    </row>
  </sheetData>
  <mergeCells count="2">
    <mergeCell ref="B28:H28"/>
    <mergeCell ref="A4:H4"/>
  </mergeCells>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H274"/>
  <sheetViews>
    <sheetView showGridLines="0" zoomScale="80" zoomScaleNormal="80" workbookViewId="0">
      <selection activeCell="B6" sqref="B6"/>
    </sheetView>
  </sheetViews>
  <sheetFormatPr defaultRowHeight="15" x14ac:dyDescent="0.25"/>
  <cols>
    <col min="2" max="2" width="25.5703125" bestFit="1" customWidth="1"/>
    <col min="3" max="3" width="12.140625" customWidth="1"/>
    <col min="4" max="4" width="13" bestFit="1" customWidth="1"/>
    <col min="5" max="5" width="13.140625" bestFit="1" customWidth="1"/>
    <col min="6" max="6" width="12.42578125" bestFit="1" customWidth="1"/>
    <col min="7" max="7" width="15.140625" bestFit="1" customWidth="1"/>
    <col min="8" max="8" width="13.85546875" customWidth="1"/>
  </cols>
  <sheetData>
    <row r="1" spans="1:8" x14ac:dyDescent="0.25">
      <c r="C1" s="36" t="s">
        <v>88</v>
      </c>
      <c r="D1" s="35" t="str">
        <f>Summary!$E$2</f>
        <v>&lt;Client/Prospect Name&gt;</v>
      </c>
      <c r="E1" s="35"/>
    </row>
    <row r="2" spans="1:8" x14ac:dyDescent="0.25">
      <c r="C2" s="36" t="s">
        <v>89</v>
      </c>
      <c r="D2" s="35" t="str">
        <f>Summary!$E$3</f>
        <v>&lt;Project/Requirement &gt;</v>
      </c>
      <c r="E2" s="35"/>
    </row>
    <row r="3" spans="1:8" x14ac:dyDescent="0.25">
      <c r="B3" s="11"/>
      <c r="C3" s="44"/>
      <c r="D3" s="11"/>
      <c r="E3" s="11"/>
      <c r="F3" s="11"/>
    </row>
    <row r="4" spans="1:8" ht="18.75" x14ac:dyDescent="0.3">
      <c r="A4" s="124" t="s">
        <v>104</v>
      </c>
      <c r="B4" s="124"/>
      <c r="C4" s="124"/>
      <c r="D4" s="124"/>
      <c r="E4" s="124"/>
      <c r="F4" s="124"/>
      <c r="G4" s="124"/>
      <c r="H4" s="124"/>
    </row>
    <row r="5" spans="1:8" ht="15.75" thickBot="1" x14ac:dyDescent="0.3"/>
    <row r="6" spans="1:8" ht="29.25" customHeight="1" x14ac:dyDescent="0.25">
      <c r="A6" s="40" t="s">
        <v>1</v>
      </c>
      <c r="B6" s="41" t="s">
        <v>0</v>
      </c>
      <c r="C6" s="41" t="str">
        <f>CONCATENATE("Cost (",Summary!$E$9,")")</f>
        <v>Cost (INR)</v>
      </c>
      <c r="D6" s="41" t="str">
        <f>CONCATENATE("Rate (",Summary!$E$9,")")</f>
        <v>Rate (INR)</v>
      </c>
      <c r="E6" s="41" t="str">
        <f>CONCATENATE("Effort  (",Summary!$E$8,")")</f>
        <v>Effort  (Days)</v>
      </c>
      <c r="F6" s="41" t="str">
        <f>CONCATENATE("Cost Total (",Summary!$E$9,")")</f>
        <v>Cost Total (INR)</v>
      </c>
      <c r="G6" s="41" t="str">
        <f>CONCATENATE("Revenue Total (",Summary!$E$9,")")</f>
        <v>Revenue Total (INR)</v>
      </c>
      <c r="H6" s="41" t="s">
        <v>42</v>
      </c>
    </row>
    <row r="7" spans="1:8" x14ac:dyDescent="0.25">
      <c r="A7" s="42">
        <v>1</v>
      </c>
      <c r="B7" s="7" t="s">
        <v>120</v>
      </c>
      <c r="C7" s="27">
        <v>1675</v>
      </c>
      <c r="D7" s="27">
        <v>3300</v>
      </c>
      <c r="E7" s="26">
        <v>79</v>
      </c>
      <c r="F7" s="27">
        <f>E7*C7</f>
        <v>132325</v>
      </c>
      <c r="G7" s="27">
        <f>D7*E7</f>
        <v>260700</v>
      </c>
      <c r="H7" s="43">
        <f>IF(E7&gt;0,((D7*E7)-(C7*E7))/(D7*E7),0)</f>
        <v>0.49242424242424243</v>
      </c>
    </row>
    <row r="8" spans="1:8" x14ac:dyDescent="0.25">
      <c r="A8" s="42">
        <v>2</v>
      </c>
      <c r="B8" s="7" t="s">
        <v>121</v>
      </c>
      <c r="C8" s="27">
        <v>2650</v>
      </c>
      <c r="D8" s="27">
        <v>4383.3</v>
      </c>
      <c r="E8" s="26">
        <v>12</v>
      </c>
      <c r="F8" s="27">
        <f t="shared" ref="F8:F26" si="0">E8*C8</f>
        <v>31800</v>
      </c>
      <c r="G8" s="27">
        <f t="shared" ref="G8:G26" si="1">D8*E8</f>
        <v>52599.600000000006</v>
      </c>
      <c r="H8" s="43">
        <f t="shared" ref="H8:H26" si="2">IF(E8&gt;0,((D8*E8)-(C8*E8))/(D8*E8),0)</f>
        <v>0.39543266488718554</v>
      </c>
    </row>
    <row r="9" spans="1:8" x14ac:dyDescent="0.25">
      <c r="A9" s="42">
        <f>'Detailed Dev Efforts'!A9</f>
        <v>3</v>
      </c>
      <c r="B9" s="7"/>
      <c r="C9" s="27"/>
      <c r="D9" s="27"/>
      <c r="E9" s="26">
        <v>0</v>
      </c>
      <c r="F9" s="27">
        <f t="shared" si="0"/>
        <v>0</v>
      </c>
      <c r="G9" s="27">
        <f t="shared" si="1"/>
        <v>0</v>
      </c>
      <c r="H9" s="43">
        <f t="shared" si="2"/>
        <v>0</v>
      </c>
    </row>
    <row r="10" spans="1:8" x14ac:dyDescent="0.25">
      <c r="A10" s="42">
        <v>4</v>
      </c>
      <c r="B10" s="7"/>
      <c r="C10" s="27"/>
      <c r="D10" s="27"/>
      <c r="E10" s="26">
        <v>0</v>
      </c>
      <c r="F10" s="27">
        <f t="shared" si="0"/>
        <v>0</v>
      </c>
      <c r="G10" s="27">
        <f t="shared" si="1"/>
        <v>0</v>
      </c>
      <c r="H10" s="43">
        <f t="shared" si="2"/>
        <v>0</v>
      </c>
    </row>
    <row r="11" spans="1:8" x14ac:dyDescent="0.25">
      <c r="A11" s="42">
        <v>5</v>
      </c>
      <c r="B11" s="7"/>
      <c r="C11" s="27"/>
      <c r="D11" s="27"/>
      <c r="E11" s="26">
        <v>0</v>
      </c>
      <c r="F11" s="27">
        <f t="shared" si="0"/>
        <v>0</v>
      </c>
      <c r="G11" s="27">
        <f t="shared" si="1"/>
        <v>0</v>
      </c>
      <c r="H11" s="43">
        <f t="shared" si="2"/>
        <v>0</v>
      </c>
    </row>
    <row r="12" spans="1:8" x14ac:dyDescent="0.25">
      <c r="A12" s="42">
        <v>6</v>
      </c>
      <c r="B12" s="7"/>
      <c r="C12" s="27"/>
      <c r="D12" s="27"/>
      <c r="E12" s="26">
        <v>0</v>
      </c>
      <c r="F12" s="27">
        <f t="shared" si="0"/>
        <v>0</v>
      </c>
      <c r="G12" s="27">
        <f t="shared" si="1"/>
        <v>0</v>
      </c>
      <c r="H12" s="43">
        <f t="shared" si="2"/>
        <v>0</v>
      </c>
    </row>
    <row r="13" spans="1:8" x14ac:dyDescent="0.25">
      <c r="A13" s="42">
        <v>7</v>
      </c>
      <c r="B13" s="7"/>
      <c r="C13" s="27">
        <v>0</v>
      </c>
      <c r="D13" s="27">
        <v>0</v>
      </c>
      <c r="E13" s="26">
        <v>0</v>
      </c>
      <c r="F13" s="27">
        <f t="shared" si="0"/>
        <v>0</v>
      </c>
      <c r="G13" s="27">
        <f t="shared" si="1"/>
        <v>0</v>
      </c>
      <c r="H13" s="43">
        <f t="shared" si="2"/>
        <v>0</v>
      </c>
    </row>
    <row r="14" spans="1:8" x14ac:dyDescent="0.25">
      <c r="A14" s="42">
        <v>8</v>
      </c>
      <c r="B14" s="7"/>
      <c r="C14" s="27">
        <v>0</v>
      </c>
      <c r="D14" s="27">
        <v>0</v>
      </c>
      <c r="E14" s="26">
        <v>0</v>
      </c>
      <c r="F14" s="27">
        <f t="shared" si="0"/>
        <v>0</v>
      </c>
      <c r="G14" s="27">
        <f t="shared" si="1"/>
        <v>0</v>
      </c>
      <c r="H14" s="43">
        <f t="shared" si="2"/>
        <v>0</v>
      </c>
    </row>
    <row r="15" spans="1:8" x14ac:dyDescent="0.25">
      <c r="A15" s="42">
        <f>'Detailed Dev Efforts'!A15</f>
        <v>9</v>
      </c>
      <c r="B15" s="7"/>
      <c r="C15" s="27">
        <v>0</v>
      </c>
      <c r="D15" s="27">
        <v>0</v>
      </c>
      <c r="E15" s="26">
        <v>0</v>
      </c>
      <c r="F15" s="27">
        <f t="shared" si="0"/>
        <v>0</v>
      </c>
      <c r="G15" s="27">
        <f t="shared" si="1"/>
        <v>0</v>
      </c>
      <c r="H15" s="43">
        <f t="shared" si="2"/>
        <v>0</v>
      </c>
    </row>
    <row r="16" spans="1:8" x14ac:dyDescent="0.25">
      <c r="A16" s="42">
        <v>10</v>
      </c>
      <c r="B16" s="7"/>
      <c r="C16" s="27">
        <v>0</v>
      </c>
      <c r="D16" s="27">
        <v>0</v>
      </c>
      <c r="E16" s="26">
        <v>0</v>
      </c>
      <c r="F16" s="27">
        <f t="shared" si="0"/>
        <v>0</v>
      </c>
      <c r="G16" s="27">
        <f t="shared" si="1"/>
        <v>0</v>
      </c>
      <c r="H16" s="43">
        <f t="shared" si="2"/>
        <v>0</v>
      </c>
    </row>
    <row r="17" spans="1:8" x14ac:dyDescent="0.25">
      <c r="A17" s="42">
        <v>11</v>
      </c>
      <c r="B17" s="7"/>
      <c r="C17" s="27">
        <v>0</v>
      </c>
      <c r="D17" s="27">
        <v>0</v>
      </c>
      <c r="E17" s="26">
        <v>0</v>
      </c>
      <c r="F17" s="27">
        <f t="shared" si="0"/>
        <v>0</v>
      </c>
      <c r="G17" s="27">
        <f t="shared" si="1"/>
        <v>0</v>
      </c>
      <c r="H17" s="43">
        <f t="shared" si="2"/>
        <v>0</v>
      </c>
    </row>
    <row r="18" spans="1:8" x14ac:dyDescent="0.25">
      <c r="A18" s="42">
        <v>12</v>
      </c>
      <c r="B18" s="7"/>
      <c r="C18" s="27">
        <v>0</v>
      </c>
      <c r="D18" s="27">
        <v>0</v>
      </c>
      <c r="E18" s="26">
        <v>0</v>
      </c>
      <c r="F18" s="27">
        <f t="shared" si="0"/>
        <v>0</v>
      </c>
      <c r="G18" s="27">
        <f t="shared" si="1"/>
        <v>0</v>
      </c>
      <c r="H18" s="43">
        <f t="shared" si="2"/>
        <v>0</v>
      </c>
    </row>
    <row r="19" spans="1:8" x14ac:dyDescent="0.25">
      <c r="A19" s="42">
        <v>13</v>
      </c>
      <c r="B19" s="7"/>
      <c r="C19" s="27">
        <v>0</v>
      </c>
      <c r="D19" s="27">
        <v>0</v>
      </c>
      <c r="E19" s="26">
        <v>0</v>
      </c>
      <c r="F19" s="27">
        <f t="shared" si="0"/>
        <v>0</v>
      </c>
      <c r="G19" s="27">
        <f t="shared" si="1"/>
        <v>0</v>
      </c>
      <c r="H19" s="43">
        <f t="shared" si="2"/>
        <v>0</v>
      </c>
    </row>
    <row r="20" spans="1:8" x14ac:dyDescent="0.25">
      <c r="A20" s="42">
        <v>14</v>
      </c>
      <c r="B20" s="7"/>
      <c r="C20" s="27">
        <v>0</v>
      </c>
      <c r="D20" s="27">
        <v>0</v>
      </c>
      <c r="E20" s="26">
        <v>0</v>
      </c>
      <c r="F20" s="27">
        <f t="shared" si="0"/>
        <v>0</v>
      </c>
      <c r="G20" s="27">
        <f t="shared" si="1"/>
        <v>0</v>
      </c>
      <c r="H20" s="43">
        <f t="shared" si="2"/>
        <v>0</v>
      </c>
    </row>
    <row r="21" spans="1:8" x14ac:dyDescent="0.25">
      <c r="A21" s="42">
        <f>'Detailed Dev Efforts'!A21</f>
        <v>15</v>
      </c>
      <c r="B21" s="7"/>
      <c r="C21" s="27">
        <v>0</v>
      </c>
      <c r="D21" s="27">
        <v>0</v>
      </c>
      <c r="E21" s="26">
        <v>0</v>
      </c>
      <c r="F21" s="27">
        <f t="shared" si="0"/>
        <v>0</v>
      </c>
      <c r="G21" s="27">
        <f t="shared" si="1"/>
        <v>0</v>
      </c>
      <c r="H21" s="43">
        <f t="shared" si="2"/>
        <v>0</v>
      </c>
    </row>
    <row r="22" spans="1:8" x14ac:dyDescent="0.25">
      <c r="A22" s="42">
        <v>16</v>
      </c>
      <c r="B22" s="7"/>
      <c r="C22" s="27">
        <v>0</v>
      </c>
      <c r="D22" s="27">
        <v>0</v>
      </c>
      <c r="E22" s="26">
        <v>0</v>
      </c>
      <c r="F22" s="27">
        <f t="shared" si="0"/>
        <v>0</v>
      </c>
      <c r="G22" s="27">
        <f t="shared" si="1"/>
        <v>0</v>
      </c>
      <c r="H22" s="43">
        <f t="shared" si="2"/>
        <v>0</v>
      </c>
    </row>
    <row r="23" spans="1:8" x14ac:dyDescent="0.25">
      <c r="A23" s="42">
        <v>17</v>
      </c>
      <c r="B23" s="7"/>
      <c r="C23" s="27">
        <v>0</v>
      </c>
      <c r="D23" s="27">
        <v>0</v>
      </c>
      <c r="E23" s="26">
        <v>0</v>
      </c>
      <c r="F23" s="27">
        <f t="shared" si="0"/>
        <v>0</v>
      </c>
      <c r="G23" s="27">
        <f t="shared" si="1"/>
        <v>0</v>
      </c>
      <c r="H23" s="43">
        <f t="shared" si="2"/>
        <v>0</v>
      </c>
    </row>
    <row r="24" spans="1:8" x14ac:dyDescent="0.25">
      <c r="A24" s="42">
        <v>18</v>
      </c>
      <c r="B24" s="7"/>
      <c r="C24" s="27">
        <v>0</v>
      </c>
      <c r="D24" s="27">
        <v>0</v>
      </c>
      <c r="E24" s="26">
        <v>0</v>
      </c>
      <c r="F24" s="27">
        <f t="shared" si="0"/>
        <v>0</v>
      </c>
      <c r="G24" s="27">
        <f t="shared" si="1"/>
        <v>0</v>
      </c>
      <c r="H24" s="43">
        <f t="shared" si="2"/>
        <v>0</v>
      </c>
    </row>
    <row r="25" spans="1:8" x14ac:dyDescent="0.25">
      <c r="A25" s="42">
        <v>19</v>
      </c>
      <c r="B25" s="7"/>
      <c r="C25" s="27">
        <v>0</v>
      </c>
      <c r="D25" s="27">
        <v>0</v>
      </c>
      <c r="E25" s="26">
        <v>0</v>
      </c>
      <c r="F25" s="27">
        <f t="shared" si="0"/>
        <v>0</v>
      </c>
      <c r="G25" s="27">
        <f t="shared" si="1"/>
        <v>0</v>
      </c>
      <c r="H25" s="43">
        <f t="shared" si="2"/>
        <v>0</v>
      </c>
    </row>
    <row r="26" spans="1:8" x14ac:dyDescent="0.25">
      <c r="A26" s="42">
        <v>20</v>
      </c>
      <c r="B26" s="7"/>
      <c r="C26" s="27">
        <v>0</v>
      </c>
      <c r="D26" s="27">
        <v>0</v>
      </c>
      <c r="E26" s="26">
        <v>0</v>
      </c>
      <c r="F26" s="27">
        <f t="shared" si="0"/>
        <v>0</v>
      </c>
      <c r="G26" s="27">
        <f t="shared" si="1"/>
        <v>0</v>
      </c>
      <c r="H26" s="43">
        <f t="shared" si="2"/>
        <v>0</v>
      </c>
    </row>
    <row r="27" spans="1:8" x14ac:dyDescent="0.25">
      <c r="A27" s="21"/>
      <c r="B27" s="22"/>
      <c r="C27" s="22"/>
      <c r="D27" s="22"/>
      <c r="E27" s="23">
        <f>SUM(E7:E26)</f>
        <v>91</v>
      </c>
      <c r="F27" s="24">
        <f>SUM(F7:F26)</f>
        <v>164125</v>
      </c>
      <c r="G27" s="24">
        <f>SUM(G7:G26)</f>
        <v>313299.59999999998</v>
      </c>
      <c r="H27" s="25">
        <f>(G27-F27)/G27</f>
        <v>0.47614041001009894</v>
      </c>
    </row>
    <row r="28" spans="1:8" x14ac:dyDescent="0.25">
      <c r="A28" s="28"/>
      <c r="B28" s="121" t="s">
        <v>93</v>
      </c>
      <c r="C28" s="122"/>
      <c r="D28" s="122"/>
      <c r="E28" s="122"/>
      <c r="F28" s="122"/>
      <c r="G28" s="122"/>
      <c r="H28" s="123"/>
    </row>
    <row r="29" spans="1:8" x14ac:dyDescent="0.25">
      <c r="A29" s="20"/>
      <c r="B29" s="50" t="s">
        <v>95</v>
      </c>
      <c r="C29" s="50"/>
      <c r="D29" s="50" t="s">
        <v>96</v>
      </c>
      <c r="E29" s="50" t="s">
        <v>97</v>
      </c>
      <c r="F29" s="50" t="s">
        <v>98</v>
      </c>
      <c r="G29" s="50"/>
      <c r="H29" s="50"/>
    </row>
    <row r="30" spans="1:8" x14ac:dyDescent="0.25">
      <c r="A30" s="20"/>
      <c r="B30" s="20" t="s">
        <v>94</v>
      </c>
      <c r="C30" s="20"/>
      <c r="D30" s="20"/>
      <c r="E30" s="26"/>
      <c r="F30" s="26">
        <f>D30*E30</f>
        <v>0</v>
      </c>
      <c r="G30" s="29"/>
      <c r="H30" s="30"/>
    </row>
    <row r="31" spans="1:8" x14ac:dyDescent="0.25">
      <c r="A31" s="20"/>
      <c r="B31" s="20" t="s">
        <v>147</v>
      </c>
      <c r="C31" s="20">
        <v>0</v>
      </c>
      <c r="D31" s="20">
        <v>0</v>
      </c>
      <c r="E31" s="26">
        <v>0</v>
      </c>
      <c r="F31" s="26">
        <f>D31*E31</f>
        <v>0</v>
      </c>
      <c r="G31" s="29"/>
      <c r="H31" s="30"/>
    </row>
    <row r="32" spans="1:8" x14ac:dyDescent="0.25">
      <c r="A32" s="20"/>
      <c r="B32" s="20" t="s">
        <v>76</v>
      </c>
      <c r="C32" s="20"/>
      <c r="D32" s="20"/>
      <c r="E32" s="26"/>
      <c r="F32" s="26">
        <f t="shared" ref="F32:F38" si="3">D32*E32</f>
        <v>0</v>
      </c>
      <c r="G32" s="27"/>
      <c r="H32" s="26"/>
    </row>
    <row r="33" spans="1:8" x14ac:dyDescent="0.25">
      <c r="A33" s="20"/>
      <c r="B33" s="20" t="s">
        <v>75</v>
      </c>
      <c r="C33" s="20"/>
      <c r="D33" s="20"/>
      <c r="E33" s="26"/>
      <c r="F33" s="26">
        <f t="shared" si="3"/>
        <v>0</v>
      </c>
      <c r="G33" s="26"/>
      <c r="H33" s="26"/>
    </row>
    <row r="34" spans="1:8" x14ac:dyDescent="0.25">
      <c r="A34" s="20"/>
      <c r="B34" s="20" t="s">
        <v>148</v>
      </c>
      <c r="C34" s="20"/>
      <c r="D34" s="20"/>
      <c r="E34" s="26"/>
      <c r="F34" s="26">
        <f t="shared" si="3"/>
        <v>0</v>
      </c>
      <c r="G34" s="26"/>
      <c r="H34" s="26"/>
    </row>
    <row r="35" spans="1:8" x14ac:dyDescent="0.25">
      <c r="A35" s="20"/>
      <c r="B35" s="20"/>
      <c r="C35" s="20"/>
      <c r="D35" s="20"/>
      <c r="E35" s="26"/>
      <c r="F35" s="26">
        <f t="shared" si="3"/>
        <v>0</v>
      </c>
      <c r="G35" s="26"/>
      <c r="H35" s="26"/>
    </row>
    <row r="36" spans="1:8" x14ac:dyDescent="0.25">
      <c r="A36" s="20"/>
      <c r="B36" s="20"/>
      <c r="C36" s="20"/>
      <c r="D36" s="20"/>
      <c r="E36" s="26"/>
      <c r="F36" s="26">
        <f t="shared" si="3"/>
        <v>0</v>
      </c>
      <c r="G36" s="26"/>
      <c r="H36" s="26"/>
    </row>
    <row r="37" spans="1:8" x14ac:dyDescent="0.25">
      <c r="A37" s="20"/>
      <c r="B37" s="20"/>
      <c r="C37" s="20"/>
      <c r="D37" s="20"/>
      <c r="E37" s="26"/>
      <c r="F37" s="26">
        <f t="shared" si="3"/>
        <v>0</v>
      </c>
      <c r="G37" s="26"/>
      <c r="H37" s="26"/>
    </row>
    <row r="38" spans="1:8" x14ac:dyDescent="0.25">
      <c r="A38" s="20"/>
      <c r="B38" s="20"/>
      <c r="C38" s="20"/>
      <c r="D38" s="20"/>
      <c r="E38" s="26"/>
      <c r="F38" s="26">
        <f t="shared" si="3"/>
        <v>0</v>
      </c>
      <c r="G38" s="26"/>
      <c r="H38" s="26"/>
    </row>
    <row r="39" spans="1:8" x14ac:dyDescent="0.25">
      <c r="A39" s="20"/>
      <c r="B39" s="19" t="s">
        <v>100</v>
      </c>
      <c r="C39" s="20"/>
      <c r="D39" s="20"/>
      <c r="E39" s="26"/>
      <c r="F39" s="27">
        <f>SUM(F30:F38)</f>
        <v>0</v>
      </c>
      <c r="G39" s="26"/>
      <c r="H39" s="26"/>
    </row>
    <row r="40" spans="1:8" x14ac:dyDescent="0.25">
      <c r="A40" s="9"/>
      <c r="B40" s="9"/>
      <c r="C40" s="9"/>
      <c r="D40" s="9"/>
      <c r="E40" s="10"/>
      <c r="F40" s="10"/>
      <c r="G40" s="10"/>
      <c r="H40" s="10"/>
    </row>
    <row r="41" spans="1:8" x14ac:dyDescent="0.25">
      <c r="A41" s="9"/>
      <c r="B41" s="45" t="s">
        <v>101</v>
      </c>
      <c r="C41" s="45"/>
      <c r="D41" s="45"/>
      <c r="E41" s="51"/>
      <c r="F41" s="53">
        <f>SUM(F39+F27)</f>
        <v>164125</v>
      </c>
      <c r="G41" s="53">
        <f>G27</f>
        <v>313299.59999999998</v>
      </c>
      <c r="H41" s="52">
        <f>(G41-F41)/G41</f>
        <v>0.47614041001009894</v>
      </c>
    </row>
    <row r="42" spans="1:8" x14ac:dyDescent="0.25">
      <c r="A42" s="9"/>
      <c r="B42" s="9"/>
      <c r="C42" s="9"/>
      <c r="D42" s="9"/>
      <c r="E42" s="10"/>
      <c r="F42" s="10"/>
      <c r="G42" s="10"/>
      <c r="H42" s="10"/>
    </row>
    <row r="43" spans="1:8" x14ac:dyDescent="0.25">
      <c r="A43" s="9"/>
      <c r="B43" s="9"/>
      <c r="C43" s="9"/>
      <c r="D43" s="9"/>
      <c r="E43" s="10"/>
      <c r="F43" s="10"/>
      <c r="G43" s="10"/>
      <c r="H43" s="10"/>
    </row>
    <row r="44" spans="1:8" x14ac:dyDescent="0.25">
      <c r="A44" s="9"/>
      <c r="B44" s="9"/>
      <c r="C44" s="9"/>
      <c r="D44" s="9"/>
      <c r="E44" s="10"/>
      <c r="F44" s="10"/>
      <c r="G44" s="10"/>
      <c r="H44" s="10"/>
    </row>
    <row r="45" spans="1:8" x14ac:dyDescent="0.25">
      <c r="A45" s="9"/>
      <c r="B45" s="9"/>
      <c r="C45" s="9"/>
      <c r="D45" s="9"/>
      <c r="E45" s="10"/>
      <c r="F45" s="10"/>
      <c r="G45" s="10"/>
      <c r="H45" s="10"/>
    </row>
    <row r="46" spans="1:8" x14ac:dyDescent="0.25">
      <c r="A46" s="9"/>
      <c r="B46" s="9"/>
      <c r="C46" s="9"/>
      <c r="D46" s="9"/>
      <c r="E46" s="10"/>
      <c r="F46" s="10"/>
      <c r="G46" s="10"/>
      <c r="H46" s="10"/>
    </row>
    <row r="47" spans="1:8" x14ac:dyDescent="0.25">
      <c r="A47" s="9"/>
      <c r="B47" s="9"/>
      <c r="C47" s="9"/>
      <c r="D47" s="9"/>
      <c r="E47" s="10"/>
      <c r="F47" s="10"/>
      <c r="G47" s="10"/>
      <c r="H47" s="10"/>
    </row>
    <row r="48" spans="1:8" x14ac:dyDescent="0.25">
      <c r="A48" s="9"/>
      <c r="B48" s="9"/>
      <c r="C48" s="9"/>
      <c r="D48" s="9"/>
      <c r="E48" s="10"/>
      <c r="F48" s="10"/>
      <c r="G48" s="10"/>
      <c r="H48" s="10"/>
    </row>
    <row r="49" spans="1:8" x14ac:dyDescent="0.25">
      <c r="A49" s="9"/>
      <c r="B49" s="9"/>
      <c r="C49" s="9"/>
      <c r="D49" s="9"/>
      <c r="E49" s="10"/>
      <c r="F49" s="10"/>
      <c r="G49" s="10"/>
      <c r="H49" s="10"/>
    </row>
    <row r="50" spans="1:8" x14ac:dyDescent="0.25">
      <c r="A50" s="9"/>
      <c r="B50" s="9"/>
      <c r="C50" s="9"/>
      <c r="D50" s="9"/>
      <c r="E50" s="10"/>
      <c r="F50" s="10"/>
      <c r="G50" s="10"/>
      <c r="H50" s="10"/>
    </row>
    <row r="51" spans="1:8" x14ac:dyDescent="0.25">
      <c r="A51" s="9"/>
      <c r="B51" s="9"/>
      <c r="C51" s="9"/>
      <c r="D51" s="9"/>
      <c r="E51" s="10"/>
      <c r="F51" s="10"/>
      <c r="G51" s="10"/>
      <c r="H51" s="10"/>
    </row>
    <row r="52" spans="1:8" x14ac:dyDescent="0.25">
      <c r="A52" s="9"/>
      <c r="B52" s="9"/>
      <c r="C52" s="9"/>
      <c r="D52" s="9"/>
      <c r="E52" s="10"/>
      <c r="F52" s="10"/>
      <c r="G52" s="10"/>
      <c r="H52" s="10"/>
    </row>
    <row r="53" spans="1:8" x14ac:dyDescent="0.25">
      <c r="A53" s="9"/>
      <c r="B53" s="9"/>
      <c r="C53" s="9"/>
      <c r="D53" s="9"/>
      <c r="E53" s="10"/>
      <c r="F53" s="10"/>
      <c r="G53" s="10"/>
      <c r="H53" s="10"/>
    </row>
    <row r="54" spans="1:8" x14ac:dyDescent="0.25">
      <c r="A54" s="9"/>
      <c r="B54" s="9"/>
      <c r="C54" s="9"/>
      <c r="D54" s="9"/>
      <c r="E54" s="10"/>
      <c r="F54" s="10"/>
      <c r="G54" s="10"/>
      <c r="H54" s="10"/>
    </row>
    <row r="55" spans="1:8" x14ac:dyDescent="0.25">
      <c r="A55" s="9"/>
      <c r="B55" s="9"/>
      <c r="C55" s="9"/>
      <c r="D55" s="9"/>
      <c r="E55" s="10"/>
      <c r="F55" s="10"/>
      <c r="G55" s="10"/>
      <c r="H55" s="10"/>
    </row>
    <row r="56" spans="1:8" x14ac:dyDescent="0.25">
      <c r="A56" s="9"/>
      <c r="B56" s="9"/>
      <c r="C56" s="9"/>
      <c r="D56" s="9"/>
      <c r="E56" s="10"/>
      <c r="F56" s="10"/>
      <c r="G56" s="10"/>
      <c r="H56" s="10"/>
    </row>
    <row r="57" spans="1:8" x14ac:dyDescent="0.25">
      <c r="A57" s="9"/>
      <c r="B57" s="9"/>
      <c r="C57" s="9"/>
      <c r="D57" s="9"/>
      <c r="E57" s="10"/>
      <c r="F57" s="10"/>
      <c r="G57" s="10"/>
      <c r="H57" s="10"/>
    </row>
    <row r="58" spans="1:8" x14ac:dyDescent="0.25">
      <c r="A58" s="9"/>
      <c r="B58" s="9"/>
      <c r="C58" s="9"/>
      <c r="D58" s="9"/>
      <c r="E58" s="10"/>
      <c r="F58" s="10"/>
      <c r="G58" s="10"/>
      <c r="H58" s="10"/>
    </row>
    <row r="59" spans="1:8" x14ac:dyDescent="0.25">
      <c r="A59" s="9"/>
      <c r="B59" s="9"/>
      <c r="C59" s="9"/>
      <c r="D59" s="9"/>
      <c r="E59" s="10"/>
      <c r="F59" s="10"/>
      <c r="G59" s="10"/>
      <c r="H59" s="10"/>
    </row>
    <row r="60" spans="1:8" x14ac:dyDescent="0.25">
      <c r="A60" s="9"/>
      <c r="B60" s="9"/>
      <c r="C60" s="9"/>
      <c r="D60" s="9"/>
      <c r="E60" s="10"/>
      <c r="F60" s="10"/>
      <c r="G60" s="10"/>
      <c r="H60" s="10"/>
    </row>
    <row r="61" spans="1:8" x14ac:dyDescent="0.25">
      <c r="A61" s="9"/>
      <c r="B61" s="9"/>
      <c r="C61" s="9"/>
      <c r="D61" s="9"/>
      <c r="E61" s="10"/>
      <c r="F61" s="10"/>
      <c r="G61" s="10"/>
      <c r="H61" s="10"/>
    </row>
    <row r="62" spans="1:8" x14ac:dyDescent="0.25">
      <c r="A62" s="9"/>
      <c r="B62" s="9"/>
      <c r="C62" s="9"/>
      <c r="D62" s="9"/>
      <c r="E62" s="10"/>
      <c r="F62" s="10"/>
      <c r="G62" s="10"/>
      <c r="H62" s="10"/>
    </row>
    <row r="63" spans="1:8" x14ac:dyDescent="0.25">
      <c r="A63" s="9"/>
      <c r="B63" s="9"/>
      <c r="C63" s="9"/>
      <c r="D63" s="9"/>
      <c r="E63" s="10"/>
      <c r="F63" s="10"/>
      <c r="G63" s="10"/>
      <c r="H63" s="10"/>
    </row>
    <row r="64" spans="1:8" x14ac:dyDescent="0.25">
      <c r="A64" s="9"/>
      <c r="B64" s="9"/>
      <c r="C64" s="9"/>
      <c r="D64" s="9"/>
      <c r="E64" s="10"/>
      <c r="F64" s="10"/>
      <c r="G64" s="10"/>
      <c r="H64" s="10"/>
    </row>
    <row r="65" spans="1:8" x14ac:dyDescent="0.25">
      <c r="A65" s="9"/>
      <c r="B65" s="9"/>
      <c r="C65" s="9"/>
      <c r="D65" s="9"/>
      <c r="E65" s="10"/>
      <c r="F65" s="10"/>
      <c r="G65" s="10"/>
      <c r="H65" s="10"/>
    </row>
    <row r="66" spans="1:8" x14ac:dyDescent="0.25">
      <c r="A66" s="11"/>
      <c r="B66" s="11"/>
      <c r="C66" s="11"/>
      <c r="D66" s="11"/>
      <c r="E66" s="12"/>
      <c r="F66" s="12"/>
      <c r="G66" s="12"/>
      <c r="H66" s="12"/>
    </row>
    <row r="67" spans="1:8" x14ac:dyDescent="0.25">
      <c r="A67" s="11"/>
      <c r="B67" s="11"/>
      <c r="C67" s="11"/>
      <c r="D67" s="11"/>
      <c r="E67" s="11"/>
      <c r="F67" s="11"/>
      <c r="G67" s="11"/>
      <c r="H67" s="11"/>
    </row>
    <row r="68" spans="1:8" x14ac:dyDescent="0.25">
      <c r="A68" s="11"/>
      <c r="B68" s="11"/>
      <c r="C68" s="11"/>
      <c r="D68" s="11"/>
      <c r="E68" s="11"/>
      <c r="F68" s="11"/>
      <c r="G68" s="11"/>
      <c r="H68" s="11"/>
    </row>
    <row r="69" spans="1:8" x14ac:dyDescent="0.25">
      <c r="A69" s="11"/>
      <c r="B69" s="11"/>
      <c r="C69" s="11"/>
      <c r="D69" s="11"/>
      <c r="E69" s="11"/>
      <c r="F69" s="11"/>
      <c r="G69" s="11"/>
      <c r="H69" s="11"/>
    </row>
    <row r="70" spans="1:8" x14ac:dyDescent="0.25">
      <c r="A70" s="11"/>
      <c r="B70" s="11"/>
      <c r="C70" s="11"/>
      <c r="D70" s="11"/>
      <c r="E70" s="11"/>
      <c r="F70" s="11"/>
      <c r="G70" s="11"/>
      <c r="H70" s="11"/>
    </row>
    <row r="71" spans="1:8" x14ac:dyDescent="0.25">
      <c r="A71" s="11"/>
      <c r="B71" s="11"/>
      <c r="C71" s="11"/>
      <c r="D71" s="11"/>
      <c r="E71" s="11"/>
      <c r="F71" s="11"/>
      <c r="G71" s="11"/>
      <c r="H71" s="11"/>
    </row>
    <row r="72" spans="1:8" x14ac:dyDescent="0.25">
      <c r="A72" s="11"/>
      <c r="B72" s="11"/>
      <c r="C72" s="11"/>
      <c r="D72" s="11"/>
      <c r="E72" s="11"/>
      <c r="F72" s="11"/>
      <c r="G72" s="11"/>
      <c r="H72" s="11"/>
    </row>
    <row r="73" spans="1:8" x14ac:dyDescent="0.25">
      <c r="A73" s="11"/>
      <c r="B73" s="11"/>
      <c r="C73" s="11"/>
      <c r="D73" s="11"/>
      <c r="E73" s="11"/>
      <c r="F73" s="11"/>
      <c r="G73" s="11"/>
      <c r="H73" s="11"/>
    </row>
    <row r="74" spans="1:8" x14ac:dyDescent="0.25">
      <c r="A74" s="11"/>
      <c r="B74" s="11"/>
      <c r="C74" s="11"/>
      <c r="D74" s="11"/>
      <c r="E74" s="11"/>
      <c r="F74" s="11"/>
      <c r="G74" s="11"/>
      <c r="H74" s="11"/>
    </row>
    <row r="75" spans="1:8" x14ac:dyDescent="0.25">
      <c r="A75" s="11"/>
      <c r="B75" s="11"/>
      <c r="C75" s="11"/>
      <c r="D75" s="11"/>
      <c r="E75" s="11"/>
      <c r="F75" s="11"/>
      <c r="G75" s="11"/>
      <c r="H75" s="11"/>
    </row>
    <row r="76" spans="1:8" x14ac:dyDescent="0.25">
      <c r="A76" s="11"/>
      <c r="B76" s="11"/>
      <c r="C76" s="11"/>
      <c r="D76" s="11"/>
      <c r="E76" s="11"/>
      <c r="F76" s="11"/>
      <c r="G76" s="11"/>
      <c r="H76" s="11"/>
    </row>
    <row r="77" spans="1:8" x14ac:dyDescent="0.25">
      <c r="A77" s="11"/>
      <c r="B77" s="11"/>
      <c r="C77" s="11"/>
      <c r="D77" s="11"/>
      <c r="E77" s="11"/>
      <c r="F77" s="11"/>
      <c r="G77" s="11"/>
      <c r="H77" s="11"/>
    </row>
    <row r="78" spans="1:8" x14ac:dyDescent="0.25">
      <c r="A78" s="11"/>
      <c r="B78" s="11"/>
      <c r="C78" s="11"/>
      <c r="D78" s="11"/>
      <c r="E78" s="11"/>
      <c r="F78" s="11"/>
      <c r="G78" s="11"/>
      <c r="H78" s="11"/>
    </row>
    <row r="79" spans="1:8" x14ac:dyDescent="0.25">
      <c r="A79" s="11"/>
      <c r="B79" s="11"/>
      <c r="C79" s="11"/>
      <c r="D79" s="11"/>
      <c r="E79" s="11"/>
      <c r="F79" s="11"/>
      <c r="G79" s="11"/>
      <c r="H79" s="11"/>
    </row>
    <row r="80" spans="1:8" x14ac:dyDescent="0.25">
      <c r="A80" s="11"/>
      <c r="B80" s="11"/>
      <c r="C80" s="11"/>
      <c r="D80" s="11"/>
      <c r="E80" s="11"/>
      <c r="F80" s="11"/>
      <c r="G80" s="11"/>
      <c r="H80" s="11"/>
    </row>
    <row r="81" spans="1:8" x14ac:dyDescent="0.25">
      <c r="A81" s="11"/>
      <c r="B81" s="11"/>
      <c r="C81" s="11"/>
      <c r="D81" s="11"/>
      <c r="E81" s="11"/>
      <c r="F81" s="11"/>
      <c r="G81" s="11"/>
      <c r="H81" s="11"/>
    </row>
    <row r="82" spans="1:8" x14ac:dyDescent="0.25">
      <c r="A82" s="11"/>
      <c r="B82" s="11"/>
      <c r="C82" s="11"/>
      <c r="D82" s="11"/>
      <c r="E82" s="11"/>
      <c r="F82" s="11"/>
      <c r="G82" s="11"/>
      <c r="H82" s="11"/>
    </row>
    <row r="83" spans="1:8" x14ac:dyDescent="0.25">
      <c r="A83" s="11"/>
      <c r="B83" s="11"/>
      <c r="C83" s="11"/>
      <c r="D83" s="11"/>
      <c r="E83" s="11"/>
      <c r="F83" s="11"/>
      <c r="G83" s="11"/>
      <c r="H83" s="11"/>
    </row>
    <row r="84" spans="1:8" x14ac:dyDescent="0.25">
      <c r="A84" s="11"/>
      <c r="B84" s="11"/>
      <c r="C84" s="11"/>
      <c r="D84" s="11"/>
      <c r="E84" s="11"/>
      <c r="F84" s="11"/>
      <c r="G84" s="11"/>
      <c r="H84" s="11"/>
    </row>
    <row r="85" spans="1:8" x14ac:dyDescent="0.25">
      <c r="A85" s="11"/>
      <c r="B85" s="11"/>
      <c r="C85" s="11"/>
      <c r="D85" s="11"/>
      <c r="E85" s="11"/>
      <c r="F85" s="11"/>
      <c r="G85" s="11"/>
      <c r="H85" s="11"/>
    </row>
    <row r="86" spans="1:8" x14ac:dyDescent="0.25">
      <c r="A86" s="11"/>
      <c r="B86" s="11"/>
      <c r="C86" s="11"/>
      <c r="D86" s="11"/>
      <c r="E86" s="11"/>
      <c r="F86" s="11"/>
      <c r="G86" s="11"/>
      <c r="H86" s="11"/>
    </row>
    <row r="87" spans="1:8" x14ac:dyDescent="0.25">
      <c r="A87" s="11"/>
      <c r="B87" s="11"/>
      <c r="C87" s="11"/>
      <c r="D87" s="11"/>
      <c r="E87" s="11"/>
      <c r="F87" s="11"/>
      <c r="G87" s="11"/>
      <c r="H87" s="11"/>
    </row>
    <row r="88" spans="1:8" x14ac:dyDescent="0.25">
      <c r="A88" s="11"/>
      <c r="B88" s="11"/>
      <c r="C88" s="11"/>
      <c r="D88" s="11"/>
      <c r="E88" s="11"/>
      <c r="F88" s="11"/>
      <c r="G88" s="11"/>
      <c r="H88" s="11"/>
    </row>
    <row r="89" spans="1:8" x14ac:dyDescent="0.25">
      <c r="A89" s="11"/>
      <c r="B89" s="11"/>
      <c r="C89" s="11"/>
      <c r="D89" s="11"/>
      <c r="E89" s="11"/>
      <c r="F89" s="11"/>
      <c r="G89" s="11"/>
      <c r="H89" s="11"/>
    </row>
    <row r="90" spans="1:8" x14ac:dyDescent="0.25">
      <c r="A90" s="11"/>
      <c r="B90" s="11"/>
      <c r="C90" s="11"/>
      <c r="D90" s="11"/>
      <c r="E90" s="11"/>
      <c r="F90" s="11"/>
      <c r="G90" s="11"/>
      <c r="H90" s="11"/>
    </row>
    <row r="91" spans="1:8" x14ac:dyDescent="0.25">
      <c r="A91" s="11"/>
      <c r="B91" s="11"/>
      <c r="C91" s="11"/>
      <c r="D91" s="11"/>
      <c r="E91" s="11"/>
      <c r="F91" s="11"/>
      <c r="G91" s="11"/>
      <c r="H91" s="11"/>
    </row>
    <row r="92" spans="1:8" x14ac:dyDescent="0.25">
      <c r="A92" s="11"/>
      <c r="B92" s="11"/>
      <c r="C92" s="11"/>
      <c r="D92" s="11"/>
      <c r="E92" s="11"/>
      <c r="F92" s="11"/>
      <c r="G92" s="11"/>
      <c r="H92" s="11"/>
    </row>
    <row r="93" spans="1:8" x14ac:dyDescent="0.25">
      <c r="A93" s="11"/>
      <c r="B93" s="11"/>
      <c r="C93" s="11"/>
      <c r="D93" s="11"/>
      <c r="E93" s="11"/>
      <c r="F93" s="11"/>
      <c r="G93" s="11"/>
      <c r="H93" s="11"/>
    </row>
    <row r="94" spans="1:8" x14ac:dyDescent="0.25">
      <c r="A94" s="11"/>
      <c r="B94" s="11"/>
      <c r="C94" s="11"/>
      <c r="D94" s="11"/>
      <c r="E94" s="11"/>
      <c r="F94" s="11"/>
      <c r="G94" s="11"/>
      <c r="H94" s="11"/>
    </row>
    <row r="95" spans="1:8" x14ac:dyDescent="0.25">
      <c r="A95" s="11"/>
      <c r="B95" s="11"/>
      <c r="C95" s="11"/>
      <c r="D95" s="11"/>
      <c r="E95" s="11"/>
      <c r="F95" s="11"/>
      <c r="G95" s="11"/>
      <c r="H95" s="11"/>
    </row>
    <row r="96" spans="1:8" x14ac:dyDescent="0.25">
      <c r="A96" s="11"/>
      <c r="B96" s="11"/>
      <c r="C96" s="11"/>
      <c r="D96" s="11"/>
      <c r="E96" s="11"/>
      <c r="F96" s="11"/>
      <c r="G96" s="11"/>
      <c r="H96" s="11"/>
    </row>
    <row r="97" spans="1:8" x14ac:dyDescent="0.25">
      <c r="A97" s="11"/>
      <c r="B97" s="11"/>
      <c r="C97" s="11"/>
      <c r="D97" s="11"/>
      <c r="E97" s="11"/>
      <c r="F97" s="11"/>
      <c r="G97" s="11"/>
      <c r="H97" s="11"/>
    </row>
    <row r="98" spans="1:8" x14ac:dyDescent="0.25">
      <c r="A98" s="11"/>
      <c r="B98" s="11"/>
      <c r="C98" s="11"/>
      <c r="D98" s="11"/>
      <c r="E98" s="11"/>
      <c r="F98" s="11"/>
      <c r="G98" s="11"/>
      <c r="H98" s="11"/>
    </row>
    <row r="99" spans="1:8" x14ac:dyDescent="0.25">
      <c r="A99" s="11"/>
      <c r="B99" s="11"/>
      <c r="C99" s="11"/>
      <c r="D99" s="11"/>
      <c r="E99" s="11"/>
      <c r="F99" s="11"/>
      <c r="G99" s="11"/>
      <c r="H99" s="11"/>
    </row>
    <row r="100" spans="1:8" x14ac:dyDescent="0.25">
      <c r="A100" s="11"/>
      <c r="B100" s="11"/>
      <c r="C100" s="11"/>
      <c r="D100" s="11"/>
      <c r="E100" s="11"/>
      <c r="F100" s="11"/>
      <c r="G100" s="11"/>
      <c r="H100" s="11"/>
    </row>
    <row r="101" spans="1:8" x14ac:dyDescent="0.25">
      <c r="A101" s="11"/>
      <c r="B101" s="11"/>
      <c r="C101" s="11"/>
      <c r="D101" s="11"/>
      <c r="E101" s="11"/>
      <c r="F101" s="11"/>
      <c r="G101" s="11"/>
      <c r="H101" s="11"/>
    </row>
    <row r="102" spans="1:8" x14ac:dyDescent="0.25">
      <c r="A102" s="11"/>
      <c r="B102" s="11"/>
      <c r="C102" s="11"/>
      <c r="D102" s="11"/>
      <c r="E102" s="11"/>
      <c r="F102" s="11"/>
      <c r="G102" s="11"/>
      <c r="H102" s="11"/>
    </row>
    <row r="103" spans="1:8" x14ac:dyDescent="0.25">
      <c r="A103" s="11"/>
      <c r="B103" s="11"/>
      <c r="C103" s="11"/>
      <c r="D103" s="11"/>
      <c r="E103" s="11"/>
      <c r="F103" s="11"/>
      <c r="G103" s="11"/>
      <c r="H103" s="11"/>
    </row>
    <row r="104" spans="1:8" x14ac:dyDescent="0.25">
      <c r="A104" s="11"/>
      <c r="B104" s="11"/>
      <c r="C104" s="11"/>
      <c r="D104" s="11"/>
      <c r="E104" s="11"/>
      <c r="F104" s="11"/>
      <c r="G104" s="11"/>
      <c r="H104" s="11"/>
    </row>
    <row r="105" spans="1:8" x14ac:dyDescent="0.25">
      <c r="A105" s="11"/>
      <c r="B105" s="11"/>
      <c r="C105" s="11"/>
      <c r="D105" s="11"/>
      <c r="E105" s="11"/>
      <c r="F105" s="11"/>
      <c r="G105" s="11"/>
      <c r="H105" s="11"/>
    </row>
    <row r="106" spans="1:8" x14ac:dyDescent="0.25">
      <c r="A106" s="11"/>
      <c r="B106" s="11"/>
      <c r="C106" s="11"/>
      <c r="D106" s="11"/>
      <c r="E106" s="11"/>
      <c r="F106" s="11"/>
      <c r="G106" s="11"/>
      <c r="H106" s="11"/>
    </row>
    <row r="107" spans="1:8" x14ac:dyDescent="0.25">
      <c r="A107" s="11"/>
      <c r="B107" s="11"/>
      <c r="C107" s="11"/>
      <c r="D107" s="11"/>
      <c r="E107" s="11"/>
      <c r="F107" s="11"/>
      <c r="G107" s="11"/>
      <c r="H107" s="11"/>
    </row>
    <row r="108" spans="1:8" x14ac:dyDescent="0.25">
      <c r="A108" s="11"/>
      <c r="B108" s="11"/>
      <c r="C108" s="11"/>
      <c r="D108" s="11"/>
      <c r="E108" s="11"/>
      <c r="F108" s="11"/>
      <c r="G108" s="11"/>
      <c r="H108" s="11"/>
    </row>
    <row r="109" spans="1:8" x14ac:dyDescent="0.25">
      <c r="A109" s="11"/>
      <c r="B109" s="11"/>
      <c r="C109" s="11"/>
      <c r="D109" s="11"/>
      <c r="E109" s="11"/>
      <c r="F109" s="11"/>
      <c r="G109" s="11"/>
      <c r="H109" s="11"/>
    </row>
    <row r="110" spans="1:8" x14ac:dyDescent="0.25">
      <c r="A110" s="11"/>
      <c r="B110" s="11"/>
      <c r="C110" s="11"/>
      <c r="D110" s="11"/>
      <c r="E110" s="11"/>
      <c r="F110" s="11"/>
      <c r="G110" s="11"/>
      <c r="H110" s="11"/>
    </row>
    <row r="111" spans="1:8" x14ac:dyDescent="0.25">
      <c r="A111" s="11"/>
      <c r="B111" s="11"/>
      <c r="C111" s="11"/>
      <c r="D111" s="11"/>
      <c r="E111" s="11"/>
      <c r="F111" s="11"/>
      <c r="G111" s="11"/>
      <c r="H111" s="11"/>
    </row>
    <row r="112" spans="1:8" x14ac:dyDescent="0.25">
      <c r="A112" s="11"/>
      <c r="B112" s="11"/>
      <c r="C112" s="11"/>
      <c r="D112" s="11"/>
      <c r="E112" s="11"/>
      <c r="F112" s="11"/>
      <c r="G112" s="11"/>
      <c r="H112" s="11"/>
    </row>
    <row r="113" spans="1:8" x14ac:dyDescent="0.25">
      <c r="A113" s="11"/>
      <c r="B113" s="11"/>
      <c r="C113" s="11"/>
      <c r="D113" s="11"/>
      <c r="E113" s="11"/>
      <c r="F113" s="11"/>
      <c r="G113" s="11"/>
      <c r="H113" s="11"/>
    </row>
    <row r="114" spans="1:8" x14ac:dyDescent="0.25">
      <c r="A114" s="11"/>
      <c r="B114" s="11"/>
      <c r="C114" s="11"/>
      <c r="D114" s="11"/>
      <c r="E114" s="11"/>
      <c r="F114" s="11"/>
      <c r="G114" s="11"/>
      <c r="H114" s="11"/>
    </row>
    <row r="115" spans="1:8" x14ac:dyDescent="0.25">
      <c r="A115" s="11"/>
      <c r="B115" s="11"/>
      <c r="C115" s="11"/>
      <c r="D115" s="11"/>
      <c r="E115" s="11"/>
      <c r="F115" s="11"/>
      <c r="G115" s="11"/>
      <c r="H115" s="11"/>
    </row>
    <row r="116" spans="1:8" x14ac:dyDescent="0.25">
      <c r="A116" s="11"/>
      <c r="B116" s="11"/>
      <c r="C116" s="11"/>
      <c r="D116" s="11"/>
      <c r="E116" s="11"/>
      <c r="F116" s="11"/>
      <c r="G116" s="11"/>
      <c r="H116" s="11"/>
    </row>
    <row r="117" spans="1:8" x14ac:dyDescent="0.25">
      <c r="A117" s="11"/>
      <c r="B117" s="11"/>
      <c r="C117" s="11"/>
      <c r="D117" s="11"/>
      <c r="E117" s="11"/>
      <c r="F117" s="11"/>
      <c r="G117" s="11"/>
      <c r="H117" s="11"/>
    </row>
    <row r="118" spans="1:8" x14ac:dyDescent="0.25">
      <c r="A118" s="11"/>
      <c r="B118" s="11"/>
      <c r="C118" s="11"/>
      <c r="D118" s="11"/>
      <c r="E118" s="11"/>
      <c r="F118" s="11"/>
      <c r="G118" s="11"/>
      <c r="H118" s="11"/>
    </row>
    <row r="119" spans="1:8" x14ac:dyDescent="0.25">
      <c r="A119" s="11"/>
      <c r="B119" s="11"/>
      <c r="C119" s="11"/>
      <c r="D119" s="11"/>
      <c r="E119" s="11"/>
      <c r="F119" s="11"/>
      <c r="G119" s="11"/>
      <c r="H119" s="11"/>
    </row>
    <row r="120" spans="1:8" x14ac:dyDescent="0.25">
      <c r="A120" s="11"/>
      <c r="B120" s="11"/>
      <c r="C120" s="11"/>
      <c r="D120" s="11"/>
      <c r="E120" s="11"/>
      <c r="F120" s="11"/>
      <c r="G120" s="11"/>
      <c r="H120" s="11"/>
    </row>
    <row r="121" spans="1:8" x14ac:dyDescent="0.25">
      <c r="A121" s="11"/>
      <c r="B121" s="11"/>
      <c r="C121" s="11"/>
      <c r="D121" s="11"/>
      <c r="E121" s="11"/>
      <c r="F121" s="11"/>
      <c r="G121" s="11"/>
      <c r="H121" s="11"/>
    </row>
    <row r="122" spans="1:8" x14ac:dyDescent="0.25">
      <c r="A122" s="11"/>
      <c r="B122" s="11"/>
      <c r="C122" s="11"/>
      <c r="D122" s="11"/>
      <c r="E122" s="11"/>
      <c r="F122" s="11"/>
      <c r="G122" s="11"/>
      <c r="H122" s="11"/>
    </row>
    <row r="123" spans="1:8" x14ac:dyDescent="0.25">
      <c r="A123" s="11"/>
      <c r="B123" s="11"/>
      <c r="C123" s="11"/>
      <c r="D123" s="11"/>
      <c r="E123" s="11"/>
      <c r="F123" s="11"/>
      <c r="G123" s="11"/>
      <c r="H123" s="11"/>
    </row>
    <row r="124" spans="1:8" x14ac:dyDescent="0.25">
      <c r="A124" s="11"/>
      <c r="B124" s="11"/>
      <c r="C124" s="11"/>
      <c r="D124" s="11"/>
      <c r="E124" s="11"/>
      <c r="F124" s="11"/>
      <c r="G124" s="11"/>
      <c r="H124" s="11"/>
    </row>
    <row r="125" spans="1:8" x14ac:dyDescent="0.25">
      <c r="A125" s="11"/>
      <c r="B125" s="11"/>
      <c r="C125" s="11"/>
      <c r="D125" s="11"/>
      <c r="E125" s="11"/>
      <c r="F125" s="11"/>
      <c r="G125" s="11"/>
      <c r="H125" s="11"/>
    </row>
    <row r="126" spans="1:8" x14ac:dyDescent="0.25">
      <c r="A126" s="11"/>
      <c r="B126" s="11"/>
      <c r="C126" s="11"/>
      <c r="D126" s="11"/>
      <c r="E126" s="11"/>
      <c r="F126" s="11"/>
      <c r="G126" s="11"/>
      <c r="H126" s="11"/>
    </row>
    <row r="127" spans="1:8" x14ac:dyDescent="0.25">
      <c r="A127" s="11"/>
      <c r="B127" s="11"/>
      <c r="C127" s="11"/>
      <c r="D127" s="11"/>
      <c r="E127" s="11"/>
      <c r="F127" s="11"/>
      <c r="G127" s="11"/>
      <c r="H127" s="11"/>
    </row>
    <row r="128" spans="1:8" x14ac:dyDescent="0.25">
      <c r="A128" s="11"/>
      <c r="B128" s="11"/>
      <c r="C128" s="11"/>
      <c r="D128" s="11"/>
      <c r="E128" s="11"/>
      <c r="F128" s="11"/>
      <c r="G128" s="11"/>
      <c r="H128" s="11"/>
    </row>
    <row r="129" spans="1:8" x14ac:dyDescent="0.25">
      <c r="A129" s="11"/>
      <c r="B129" s="11"/>
      <c r="C129" s="11"/>
      <c r="D129" s="11"/>
      <c r="E129" s="11"/>
      <c r="F129" s="11"/>
      <c r="G129" s="11"/>
      <c r="H129" s="11"/>
    </row>
    <row r="130" spans="1:8" x14ac:dyDescent="0.25">
      <c r="A130" s="11"/>
      <c r="B130" s="11"/>
      <c r="C130" s="11"/>
      <c r="D130" s="11"/>
      <c r="E130" s="11"/>
      <c r="F130" s="11"/>
      <c r="G130" s="11"/>
      <c r="H130" s="11"/>
    </row>
    <row r="131" spans="1:8" x14ac:dyDescent="0.25">
      <c r="A131" s="11"/>
      <c r="B131" s="11"/>
      <c r="C131" s="11"/>
      <c r="D131" s="11"/>
      <c r="E131" s="11"/>
      <c r="F131" s="11"/>
      <c r="G131" s="11"/>
      <c r="H131" s="11"/>
    </row>
    <row r="132" spans="1:8" x14ac:dyDescent="0.25">
      <c r="A132" s="11"/>
      <c r="B132" s="11"/>
      <c r="C132" s="11"/>
      <c r="D132" s="11"/>
      <c r="E132" s="11"/>
      <c r="F132" s="11"/>
      <c r="G132" s="11"/>
      <c r="H132" s="11"/>
    </row>
    <row r="133" spans="1:8" x14ac:dyDescent="0.25">
      <c r="A133" s="11"/>
      <c r="B133" s="11"/>
      <c r="C133" s="11"/>
      <c r="D133" s="11"/>
      <c r="E133" s="11"/>
      <c r="F133" s="11"/>
      <c r="G133" s="11"/>
      <c r="H133" s="11"/>
    </row>
    <row r="134" spans="1:8" x14ac:dyDescent="0.25">
      <c r="A134" s="11"/>
      <c r="B134" s="11"/>
      <c r="C134" s="11"/>
      <c r="D134" s="11"/>
      <c r="E134" s="11"/>
      <c r="F134" s="11"/>
      <c r="G134" s="11"/>
      <c r="H134" s="11"/>
    </row>
    <row r="135" spans="1:8" x14ac:dyDescent="0.25">
      <c r="A135" s="11"/>
      <c r="B135" s="11"/>
      <c r="C135" s="11"/>
      <c r="D135" s="11"/>
      <c r="E135" s="11"/>
      <c r="F135" s="11"/>
      <c r="G135" s="11"/>
      <c r="H135" s="11"/>
    </row>
    <row r="136" spans="1:8" x14ac:dyDescent="0.25">
      <c r="A136" s="11"/>
      <c r="B136" s="11"/>
      <c r="C136" s="11"/>
      <c r="D136" s="11"/>
      <c r="E136" s="11"/>
      <c r="F136" s="11"/>
      <c r="G136" s="11"/>
      <c r="H136" s="11"/>
    </row>
    <row r="137" spans="1:8" x14ac:dyDescent="0.25">
      <c r="A137" s="11"/>
      <c r="B137" s="11"/>
      <c r="C137" s="11"/>
      <c r="D137" s="11"/>
      <c r="E137" s="11"/>
      <c r="F137" s="11"/>
      <c r="G137" s="11"/>
      <c r="H137" s="11"/>
    </row>
    <row r="138" spans="1:8" x14ac:dyDescent="0.25">
      <c r="A138" s="11"/>
      <c r="B138" s="11"/>
      <c r="C138" s="11"/>
      <c r="D138" s="11"/>
      <c r="E138" s="11"/>
      <c r="F138" s="11"/>
      <c r="G138" s="11"/>
      <c r="H138" s="11"/>
    </row>
    <row r="139" spans="1:8" x14ac:dyDescent="0.25">
      <c r="A139" s="11"/>
      <c r="B139" s="11"/>
      <c r="C139" s="11"/>
      <c r="D139" s="11"/>
      <c r="E139" s="11"/>
      <c r="F139" s="11"/>
      <c r="G139" s="11"/>
      <c r="H139" s="11"/>
    </row>
    <row r="140" spans="1:8" x14ac:dyDescent="0.25">
      <c r="A140" s="11"/>
      <c r="B140" s="11"/>
      <c r="C140" s="11"/>
      <c r="D140" s="11"/>
      <c r="E140" s="11"/>
      <c r="F140" s="11"/>
      <c r="G140" s="11"/>
      <c r="H140" s="11"/>
    </row>
    <row r="141" spans="1:8" x14ac:dyDescent="0.25">
      <c r="A141" s="11"/>
      <c r="B141" s="11"/>
      <c r="C141" s="11"/>
      <c r="D141" s="11"/>
      <c r="E141" s="11"/>
      <c r="F141" s="11"/>
      <c r="G141" s="11"/>
      <c r="H141" s="11"/>
    </row>
    <row r="142" spans="1:8" x14ac:dyDescent="0.25">
      <c r="A142" s="11"/>
      <c r="B142" s="11"/>
      <c r="C142" s="11"/>
      <c r="D142" s="11"/>
      <c r="E142" s="11"/>
      <c r="F142" s="11"/>
      <c r="G142" s="11"/>
      <c r="H142" s="11"/>
    </row>
    <row r="143" spans="1:8" x14ac:dyDescent="0.25">
      <c r="A143" s="11"/>
      <c r="B143" s="11"/>
      <c r="C143" s="11"/>
      <c r="D143" s="11"/>
      <c r="E143" s="11"/>
      <c r="F143" s="11"/>
      <c r="G143" s="11"/>
      <c r="H143" s="11"/>
    </row>
    <row r="144" spans="1:8" x14ac:dyDescent="0.25">
      <c r="A144" s="11"/>
      <c r="B144" s="11"/>
      <c r="C144" s="11"/>
      <c r="D144" s="11"/>
      <c r="E144" s="11"/>
      <c r="F144" s="11"/>
      <c r="G144" s="11"/>
      <c r="H144" s="11"/>
    </row>
    <row r="145" spans="1:8" x14ac:dyDescent="0.25">
      <c r="A145" s="11"/>
      <c r="B145" s="11"/>
      <c r="C145" s="11"/>
      <c r="D145" s="11"/>
      <c r="E145" s="11"/>
      <c r="F145" s="11"/>
      <c r="G145" s="11"/>
      <c r="H145" s="11"/>
    </row>
    <row r="146" spans="1:8" x14ac:dyDescent="0.25">
      <c r="A146" s="11"/>
      <c r="B146" s="11"/>
      <c r="C146" s="11"/>
      <c r="D146" s="11"/>
      <c r="E146" s="11"/>
      <c r="F146" s="11"/>
      <c r="G146" s="11"/>
      <c r="H146" s="11"/>
    </row>
    <row r="147" spans="1:8" x14ac:dyDescent="0.25">
      <c r="A147" s="11"/>
      <c r="B147" s="11"/>
      <c r="C147" s="11"/>
      <c r="D147" s="11"/>
      <c r="E147" s="11"/>
      <c r="F147" s="11"/>
      <c r="G147" s="11"/>
      <c r="H147" s="11"/>
    </row>
    <row r="148" spans="1:8" x14ac:dyDescent="0.25">
      <c r="A148" s="11"/>
      <c r="B148" s="11"/>
      <c r="C148" s="11"/>
      <c r="D148" s="11"/>
      <c r="E148" s="11"/>
      <c r="F148" s="11"/>
      <c r="G148" s="11"/>
      <c r="H148" s="11"/>
    </row>
    <row r="149" spans="1:8" x14ac:dyDescent="0.25">
      <c r="A149" s="11"/>
      <c r="B149" s="11"/>
      <c r="C149" s="11"/>
      <c r="D149" s="11"/>
      <c r="E149" s="11"/>
      <c r="F149" s="11"/>
      <c r="G149" s="11"/>
      <c r="H149" s="11"/>
    </row>
    <row r="150" spans="1:8" x14ac:dyDescent="0.25">
      <c r="A150" s="11"/>
      <c r="B150" s="11"/>
      <c r="C150" s="11"/>
      <c r="D150" s="11"/>
      <c r="E150" s="11"/>
      <c r="F150" s="11"/>
      <c r="G150" s="11"/>
      <c r="H150" s="11"/>
    </row>
    <row r="151" spans="1:8" x14ac:dyDescent="0.25">
      <c r="A151" s="11"/>
      <c r="B151" s="11"/>
      <c r="C151" s="11"/>
      <c r="D151" s="11"/>
      <c r="E151" s="11"/>
      <c r="F151" s="11"/>
      <c r="G151" s="11"/>
      <c r="H151" s="11"/>
    </row>
    <row r="152" spans="1:8" x14ac:dyDescent="0.25">
      <c r="A152" s="11"/>
      <c r="B152" s="11"/>
      <c r="C152" s="11"/>
      <c r="D152" s="11"/>
      <c r="E152" s="11"/>
      <c r="F152" s="11"/>
      <c r="G152" s="11"/>
      <c r="H152" s="11"/>
    </row>
    <row r="153" spans="1:8" x14ac:dyDescent="0.25">
      <c r="A153" s="11"/>
      <c r="B153" s="11"/>
      <c r="C153" s="11"/>
      <c r="D153" s="11"/>
      <c r="E153" s="11"/>
      <c r="F153" s="11"/>
      <c r="G153" s="11"/>
      <c r="H153" s="11"/>
    </row>
    <row r="154" spans="1:8" x14ac:dyDescent="0.25">
      <c r="A154" s="11"/>
      <c r="B154" s="11"/>
      <c r="C154" s="11"/>
      <c r="D154" s="11"/>
      <c r="E154" s="11"/>
      <c r="F154" s="11"/>
      <c r="G154" s="11"/>
      <c r="H154" s="11"/>
    </row>
    <row r="155" spans="1:8" x14ac:dyDescent="0.25">
      <c r="A155" s="11"/>
      <c r="B155" s="11"/>
      <c r="C155" s="11"/>
      <c r="D155" s="11"/>
      <c r="E155" s="11"/>
      <c r="F155" s="11"/>
      <c r="G155" s="11"/>
      <c r="H155" s="11"/>
    </row>
    <row r="156" spans="1:8" x14ac:dyDescent="0.25">
      <c r="A156" s="11"/>
      <c r="B156" s="11"/>
      <c r="C156" s="11"/>
      <c r="D156" s="11"/>
      <c r="E156" s="11"/>
      <c r="F156" s="11"/>
      <c r="G156" s="11"/>
      <c r="H156" s="11"/>
    </row>
    <row r="157" spans="1:8" x14ac:dyDescent="0.25">
      <c r="A157" s="11"/>
      <c r="B157" s="11"/>
      <c r="C157" s="11"/>
      <c r="D157" s="11"/>
      <c r="E157" s="11"/>
      <c r="F157" s="11"/>
      <c r="G157" s="11"/>
      <c r="H157" s="11"/>
    </row>
    <row r="158" spans="1:8" x14ac:dyDescent="0.25">
      <c r="A158" s="11"/>
      <c r="B158" s="11"/>
      <c r="C158" s="11"/>
      <c r="D158" s="11"/>
      <c r="E158" s="11"/>
      <c r="F158" s="11"/>
      <c r="G158" s="11"/>
      <c r="H158" s="11"/>
    </row>
    <row r="159" spans="1:8" x14ac:dyDescent="0.25">
      <c r="A159" s="11"/>
      <c r="B159" s="11"/>
      <c r="C159" s="11"/>
      <c r="D159" s="11"/>
      <c r="E159" s="11"/>
      <c r="F159" s="11"/>
      <c r="G159" s="11"/>
      <c r="H159" s="11"/>
    </row>
    <row r="160" spans="1:8" x14ac:dyDescent="0.25">
      <c r="A160" s="11"/>
      <c r="B160" s="11"/>
      <c r="C160" s="11"/>
      <c r="D160" s="11"/>
      <c r="E160" s="11"/>
      <c r="F160" s="11"/>
      <c r="G160" s="11"/>
      <c r="H160" s="11"/>
    </row>
    <row r="161" spans="1:8" x14ac:dyDescent="0.25">
      <c r="A161" s="11"/>
      <c r="B161" s="11"/>
      <c r="C161" s="11"/>
      <c r="D161" s="11"/>
      <c r="E161" s="11"/>
      <c r="F161" s="11"/>
      <c r="G161" s="11"/>
      <c r="H161" s="11"/>
    </row>
    <row r="162" spans="1:8" x14ac:dyDescent="0.25">
      <c r="A162" s="11"/>
      <c r="B162" s="11"/>
      <c r="C162" s="11"/>
      <c r="D162" s="11"/>
      <c r="E162" s="11"/>
      <c r="F162" s="11"/>
      <c r="G162" s="11"/>
      <c r="H162" s="11"/>
    </row>
    <row r="163" spans="1:8" x14ac:dyDescent="0.25">
      <c r="A163" s="11"/>
      <c r="B163" s="11"/>
      <c r="C163" s="11"/>
      <c r="D163" s="11"/>
      <c r="E163" s="11"/>
      <c r="F163" s="11"/>
      <c r="G163" s="11"/>
      <c r="H163" s="11"/>
    </row>
    <row r="164" spans="1:8" x14ac:dyDescent="0.25">
      <c r="A164" s="11"/>
      <c r="B164" s="11"/>
      <c r="C164" s="11"/>
      <c r="D164" s="11"/>
      <c r="E164" s="11"/>
      <c r="F164" s="11"/>
      <c r="G164" s="11"/>
      <c r="H164" s="11"/>
    </row>
    <row r="165" spans="1:8" x14ac:dyDescent="0.25">
      <c r="A165" s="11"/>
      <c r="B165" s="11"/>
      <c r="C165" s="11"/>
      <c r="D165" s="11"/>
      <c r="E165" s="11"/>
      <c r="F165" s="11"/>
      <c r="G165" s="11"/>
      <c r="H165" s="11"/>
    </row>
    <row r="166" spans="1:8" x14ac:dyDescent="0.25">
      <c r="A166" s="11"/>
      <c r="B166" s="11"/>
      <c r="C166" s="11"/>
      <c r="D166" s="11"/>
      <c r="E166" s="11"/>
      <c r="F166" s="11"/>
      <c r="G166" s="11"/>
      <c r="H166" s="11"/>
    </row>
    <row r="167" spans="1:8" x14ac:dyDescent="0.25">
      <c r="A167" s="11"/>
      <c r="B167" s="11"/>
      <c r="C167" s="11"/>
      <c r="D167" s="11"/>
      <c r="E167" s="11"/>
      <c r="F167" s="11"/>
      <c r="G167" s="11"/>
      <c r="H167" s="11"/>
    </row>
    <row r="168" spans="1:8" x14ac:dyDescent="0.25">
      <c r="A168" s="11"/>
      <c r="B168" s="11"/>
      <c r="C168" s="11"/>
      <c r="D168" s="11"/>
      <c r="E168" s="11"/>
      <c r="F168" s="11"/>
      <c r="G168" s="11"/>
      <c r="H168" s="11"/>
    </row>
    <row r="169" spans="1:8" x14ac:dyDescent="0.25">
      <c r="A169" s="11"/>
      <c r="B169" s="11"/>
      <c r="C169" s="11"/>
      <c r="D169" s="11"/>
      <c r="E169" s="11"/>
      <c r="F169" s="11"/>
      <c r="G169" s="11"/>
      <c r="H169" s="11"/>
    </row>
    <row r="170" spans="1:8" x14ac:dyDescent="0.25">
      <c r="A170" s="11"/>
      <c r="B170" s="11"/>
      <c r="C170" s="11"/>
      <c r="D170" s="11"/>
      <c r="E170" s="11"/>
      <c r="F170" s="11"/>
      <c r="G170" s="11"/>
      <c r="H170" s="11"/>
    </row>
    <row r="171" spans="1:8" x14ac:dyDescent="0.25">
      <c r="A171" s="11"/>
      <c r="B171" s="11"/>
      <c r="C171" s="11"/>
      <c r="D171" s="11"/>
      <c r="E171" s="11"/>
      <c r="F171" s="11"/>
      <c r="G171" s="11"/>
      <c r="H171" s="11"/>
    </row>
    <row r="172" spans="1:8" x14ac:dyDescent="0.25">
      <c r="A172" s="11"/>
      <c r="B172" s="11"/>
      <c r="C172" s="11"/>
      <c r="D172" s="11"/>
      <c r="E172" s="11"/>
      <c r="F172" s="11"/>
      <c r="G172" s="11"/>
      <c r="H172" s="11"/>
    </row>
    <row r="173" spans="1:8" x14ac:dyDescent="0.25">
      <c r="A173" s="11"/>
      <c r="B173" s="11"/>
      <c r="C173" s="11"/>
      <c r="D173" s="11"/>
      <c r="E173" s="11"/>
      <c r="F173" s="11"/>
      <c r="G173" s="11"/>
      <c r="H173" s="11"/>
    </row>
    <row r="174" spans="1:8" x14ac:dyDescent="0.25">
      <c r="A174" s="11"/>
      <c r="B174" s="11"/>
      <c r="C174" s="11"/>
      <c r="D174" s="11"/>
      <c r="E174" s="11"/>
      <c r="F174" s="11"/>
      <c r="G174" s="11"/>
      <c r="H174" s="11"/>
    </row>
    <row r="175" spans="1:8" x14ac:dyDescent="0.25">
      <c r="A175" s="11"/>
      <c r="B175" s="11"/>
      <c r="C175" s="11"/>
      <c r="D175" s="11"/>
      <c r="E175" s="11"/>
      <c r="F175" s="11"/>
      <c r="G175" s="11"/>
      <c r="H175" s="11"/>
    </row>
    <row r="176" spans="1:8" x14ac:dyDescent="0.25">
      <c r="A176" s="11"/>
      <c r="B176" s="11"/>
      <c r="C176" s="11"/>
      <c r="D176" s="11"/>
      <c r="E176" s="11"/>
      <c r="F176" s="11"/>
      <c r="G176" s="11"/>
      <c r="H176" s="11"/>
    </row>
    <row r="177" spans="1:8" x14ac:dyDescent="0.25">
      <c r="A177" s="11"/>
      <c r="B177" s="11"/>
      <c r="C177" s="11"/>
      <c r="D177" s="11"/>
      <c r="E177" s="11"/>
      <c r="F177" s="11"/>
      <c r="G177" s="11"/>
      <c r="H177" s="11"/>
    </row>
    <row r="178" spans="1:8" x14ac:dyDescent="0.25">
      <c r="A178" s="11"/>
      <c r="B178" s="11"/>
      <c r="C178" s="11"/>
      <c r="D178" s="11"/>
      <c r="E178" s="11"/>
      <c r="F178" s="11"/>
      <c r="G178" s="11"/>
      <c r="H178" s="11"/>
    </row>
    <row r="179" spans="1:8" x14ac:dyDescent="0.25">
      <c r="A179" s="11"/>
      <c r="B179" s="11"/>
      <c r="C179" s="11"/>
      <c r="D179" s="11"/>
      <c r="E179" s="11"/>
      <c r="F179" s="11"/>
      <c r="G179" s="11"/>
      <c r="H179" s="11"/>
    </row>
    <row r="180" spans="1:8" x14ac:dyDescent="0.25">
      <c r="A180" s="11"/>
      <c r="B180" s="11"/>
      <c r="C180" s="11"/>
      <c r="D180" s="11"/>
      <c r="E180" s="11"/>
      <c r="F180" s="11"/>
      <c r="G180" s="11"/>
      <c r="H180" s="11"/>
    </row>
    <row r="181" spans="1:8" x14ac:dyDescent="0.25">
      <c r="A181" s="11"/>
      <c r="B181" s="11"/>
      <c r="C181" s="11"/>
      <c r="D181" s="11"/>
      <c r="E181" s="11"/>
      <c r="F181" s="11"/>
      <c r="G181" s="11"/>
      <c r="H181" s="11"/>
    </row>
    <row r="182" spans="1:8" x14ac:dyDescent="0.25">
      <c r="A182" s="11"/>
      <c r="B182" s="11"/>
      <c r="C182" s="11"/>
      <c r="D182" s="11"/>
      <c r="E182" s="11"/>
      <c r="F182" s="11"/>
      <c r="G182" s="11"/>
      <c r="H182" s="11"/>
    </row>
    <row r="183" spans="1:8" x14ac:dyDescent="0.25">
      <c r="A183" s="11"/>
      <c r="B183" s="11"/>
      <c r="C183" s="11"/>
      <c r="D183" s="11"/>
      <c r="E183" s="11"/>
      <c r="F183" s="11"/>
      <c r="G183" s="11"/>
      <c r="H183" s="11"/>
    </row>
    <row r="184" spans="1:8" x14ac:dyDescent="0.25">
      <c r="A184" s="11"/>
      <c r="B184" s="11"/>
      <c r="C184" s="11"/>
      <c r="D184" s="11"/>
      <c r="E184" s="11"/>
      <c r="F184" s="11"/>
      <c r="G184" s="11"/>
      <c r="H184" s="11"/>
    </row>
    <row r="185" spans="1:8" x14ac:dyDescent="0.25">
      <c r="A185" s="11"/>
      <c r="B185" s="11"/>
      <c r="C185" s="11"/>
      <c r="D185" s="11"/>
      <c r="E185" s="11"/>
      <c r="F185" s="11"/>
      <c r="G185" s="11"/>
      <c r="H185" s="11"/>
    </row>
    <row r="186" spans="1:8" x14ac:dyDescent="0.25">
      <c r="A186" s="11"/>
      <c r="B186" s="11"/>
      <c r="C186" s="11"/>
      <c r="D186" s="11"/>
      <c r="E186" s="11"/>
      <c r="F186" s="11"/>
      <c r="G186" s="11"/>
      <c r="H186" s="11"/>
    </row>
    <row r="187" spans="1:8" x14ac:dyDescent="0.25">
      <c r="A187" s="11"/>
      <c r="B187" s="11"/>
      <c r="C187" s="11"/>
      <c r="D187" s="11"/>
      <c r="E187" s="11"/>
      <c r="F187" s="11"/>
      <c r="G187" s="11"/>
      <c r="H187" s="11"/>
    </row>
    <row r="188" spans="1:8" x14ac:dyDescent="0.25">
      <c r="A188" s="11"/>
      <c r="B188" s="11"/>
      <c r="C188" s="11"/>
      <c r="D188" s="11"/>
      <c r="E188" s="11"/>
      <c r="F188" s="11"/>
      <c r="G188" s="11"/>
      <c r="H188" s="11"/>
    </row>
    <row r="189" spans="1:8" x14ac:dyDescent="0.25">
      <c r="A189" s="11"/>
      <c r="B189" s="11"/>
      <c r="C189" s="11"/>
      <c r="D189" s="11"/>
      <c r="E189" s="11"/>
      <c r="F189" s="11"/>
      <c r="G189" s="11"/>
      <c r="H189" s="11"/>
    </row>
    <row r="190" spans="1:8" x14ac:dyDescent="0.25">
      <c r="A190" s="11"/>
      <c r="B190" s="11"/>
      <c r="C190" s="11"/>
      <c r="D190" s="11"/>
      <c r="E190" s="11"/>
      <c r="F190" s="11"/>
      <c r="G190" s="11"/>
      <c r="H190" s="11"/>
    </row>
    <row r="191" spans="1:8" x14ac:dyDescent="0.25">
      <c r="A191" s="11"/>
      <c r="B191" s="11"/>
      <c r="C191" s="11"/>
      <c r="D191" s="11"/>
      <c r="E191" s="11"/>
      <c r="F191" s="11"/>
      <c r="G191" s="11"/>
      <c r="H191" s="11"/>
    </row>
    <row r="192" spans="1:8" x14ac:dyDescent="0.25">
      <c r="A192" s="11"/>
      <c r="B192" s="11"/>
      <c r="C192" s="11"/>
      <c r="D192" s="11"/>
      <c r="E192" s="11"/>
      <c r="F192" s="11"/>
      <c r="G192" s="11"/>
      <c r="H192" s="11"/>
    </row>
    <row r="193" spans="1:8" x14ac:dyDescent="0.25">
      <c r="A193" s="11"/>
      <c r="B193" s="11"/>
      <c r="C193" s="11"/>
      <c r="D193" s="11"/>
      <c r="E193" s="11"/>
      <c r="F193" s="11"/>
      <c r="G193" s="11"/>
      <c r="H193" s="11"/>
    </row>
    <row r="194" spans="1:8" x14ac:dyDescent="0.25">
      <c r="A194" s="11"/>
      <c r="B194" s="11"/>
      <c r="C194" s="11"/>
      <c r="D194" s="11"/>
      <c r="E194" s="11"/>
      <c r="F194" s="11"/>
      <c r="G194" s="11"/>
      <c r="H194" s="11"/>
    </row>
    <row r="195" spans="1:8" x14ac:dyDescent="0.25">
      <c r="A195" s="11"/>
      <c r="B195" s="11"/>
      <c r="C195" s="11"/>
      <c r="D195" s="11"/>
      <c r="E195" s="11"/>
      <c r="F195" s="11"/>
      <c r="G195" s="11"/>
      <c r="H195" s="11"/>
    </row>
    <row r="196" spans="1:8" x14ac:dyDescent="0.25">
      <c r="A196" s="11"/>
      <c r="B196" s="11"/>
      <c r="C196" s="11"/>
      <c r="D196" s="11"/>
      <c r="E196" s="11"/>
      <c r="F196" s="11"/>
      <c r="G196" s="11"/>
      <c r="H196" s="11"/>
    </row>
    <row r="197" spans="1:8" x14ac:dyDescent="0.25">
      <c r="A197" s="11"/>
      <c r="B197" s="11"/>
      <c r="C197" s="11"/>
      <c r="D197" s="11"/>
      <c r="E197" s="11"/>
      <c r="F197" s="11"/>
      <c r="G197" s="11"/>
      <c r="H197" s="11"/>
    </row>
    <row r="198" spans="1:8" x14ac:dyDescent="0.25">
      <c r="A198" s="11"/>
      <c r="B198" s="11"/>
      <c r="C198" s="11"/>
      <c r="D198" s="11"/>
      <c r="E198" s="11"/>
      <c r="F198" s="11"/>
      <c r="G198" s="11"/>
      <c r="H198" s="11"/>
    </row>
    <row r="199" spans="1:8" x14ac:dyDescent="0.25">
      <c r="A199" s="11"/>
      <c r="B199" s="11"/>
      <c r="C199" s="11"/>
      <c r="D199" s="11"/>
      <c r="E199" s="11"/>
      <c r="F199" s="11"/>
      <c r="G199" s="11"/>
      <c r="H199" s="11"/>
    </row>
    <row r="200" spans="1:8" x14ac:dyDescent="0.25">
      <c r="A200" s="11"/>
      <c r="B200" s="11"/>
      <c r="C200" s="11"/>
      <c r="D200" s="11"/>
      <c r="E200" s="11"/>
      <c r="F200" s="11"/>
      <c r="G200" s="11"/>
      <c r="H200" s="11"/>
    </row>
    <row r="201" spans="1:8" x14ac:dyDescent="0.25">
      <c r="A201" s="11"/>
      <c r="B201" s="11"/>
      <c r="C201" s="11"/>
      <c r="D201" s="11"/>
      <c r="E201" s="11"/>
      <c r="F201" s="11"/>
      <c r="G201" s="11"/>
      <c r="H201" s="11"/>
    </row>
    <row r="202" spans="1:8" x14ac:dyDescent="0.25">
      <c r="A202" s="11"/>
      <c r="B202" s="11"/>
      <c r="C202" s="11"/>
      <c r="D202" s="11"/>
      <c r="E202" s="11"/>
      <c r="F202" s="11"/>
      <c r="G202" s="11"/>
      <c r="H202" s="11"/>
    </row>
    <row r="203" spans="1:8" x14ac:dyDescent="0.25">
      <c r="A203" s="11"/>
      <c r="B203" s="11"/>
      <c r="C203" s="11"/>
      <c r="D203" s="11"/>
      <c r="E203" s="11"/>
      <c r="F203" s="11"/>
      <c r="G203" s="11"/>
      <c r="H203" s="11"/>
    </row>
    <row r="204" spans="1:8" x14ac:dyDescent="0.25">
      <c r="A204" s="11"/>
      <c r="B204" s="11"/>
      <c r="C204" s="11"/>
      <c r="D204" s="11"/>
      <c r="E204" s="11"/>
      <c r="F204" s="11"/>
      <c r="G204" s="11"/>
      <c r="H204" s="11"/>
    </row>
    <row r="205" spans="1:8" x14ac:dyDescent="0.25">
      <c r="A205" s="11"/>
      <c r="B205" s="11"/>
      <c r="C205" s="11"/>
      <c r="D205" s="11"/>
      <c r="E205" s="11"/>
      <c r="F205" s="11"/>
      <c r="G205" s="11"/>
      <c r="H205" s="11"/>
    </row>
    <row r="206" spans="1:8" x14ac:dyDescent="0.25">
      <c r="A206" s="11"/>
      <c r="B206" s="11"/>
      <c r="C206" s="11"/>
      <c r="D206" s="11"/>
      <c r="E206" s="11"/>
      <c r="F206" s="11"/>
      <c r="G206" s="11"/>
      <c r="H206" s="11"/>
    </row>
    <row r="207" spans="1:8" x14ac:dyDescent="0.25">
      <c r="A207" s="11"/>
      <c r="B207" s="11"/>
      <c r="C207" s="11"/>
      <c r="D207" s="11"/>
      <c r="E207" s="11"/>
      <c r="F207" s="11"/>
      <c r="G207" s="11"/>
      <c r="H207" s="11"/>
    </row>
    <row r="208" spans="1:8" x14ac:dyDescent="0.25">
      <c r="A208" s="11"/>
      <c r="B208" s="11"/>
      <c r="C208" s="11"/>
      <c r="D208" s="11"/>
      <c r="E208" s="11"/>
      <c r="F208" s="11"/>
      <c r="G208" s="11"/>
      <c r="H208" s="11"/>
    </row>
    <row r="209" spans="1:8" x14ac:dyDescent="0.25">
      <c r="A209" s="11"/>
      <c r="B209" s="11"/>
      <c r="C209" s="11"/>
      <c r="D209" s="11"/>
      <c r="E209" s="11"/>
      <c r="F209" s="11"/>
      <c r="G209" s="11"/>
      <c r="H209" s="11"/>
    </row>
    <row r="210" spans="1:8" x14ac:dyDescent="0.25">
      <c r="A210" s="11"/>
      <c r="B210" s="11"/>
      <c r="C210" s="11"/>
      <c r="D210" s="11"/>
      <c r="E210" s="11"/>
      <c r="F210" s="11"/>
      <c r="G210" s="11"/>
      <c r="H210" s="11"/>
    </row>
    <row r="211" spans="1:8" x14ac:dyDescent="0.25">
      <c r="A211" s="11"/>
      <c r="B211" s="11"/>
      <c r="C211" s="11"/>
      <c r="D211" s="11"/>
      <c r="E211" s="11"/>
      <c r="F211" s="11"/>
      <c r="G211" s="11"/>
      <c r="H211" s="11"/>
    </row>
    <row r="212" spans="1:8" x14ac:dyDescent="0.25">
      <c r="A212" s="11"/>
      <c r="B212" s="11"/>
      <c r="C212" s="11"/>
      <c r="D212" s="11"/>
      <c r="E212" s="11"/>
      <c r="F212" s="11"/>
      <c r="G212" s="11"/>
      <c r="H212" s="11"/>
    </row>
    <row r="213" spans="1:8" x14ac:dyDescent="0.25">
      <c r="A213" s="11"/>
      <c r="B213" s="11"/>
      <c r="C213" s="11"/>
      <c r="D213" s="11"/>
      <c r="E213" s="11"/>
      <c r="F213" s="11"/>
      <c r="G213" s="11"/>
      <c r="H213" s="11"/>
    </row>
    <row r="214" spans="1:8" x14ac:dyDescent="0.25">
      <c r="A214" s="11"/>
      <c r="B214" s="11"/>
      <c r="C214" s="11"/>
      <c r="D214" s="11"/>
      <c r="E214" s="11"/>
      <c r="F214" s="11"/>
      <c r="G214" s="11"/>
      <c r="H214" s="11"/>
    </row>
    <row r="215" spans="1:8" x14ac:dyDescent="0.25">
      <c r="A215" s="11"/>
      <c r="B215" s="11"/>
      <c r="C215" s="11"/>
      <c r="D215" s="11"/>
      <c r="E215" s="11"/>
      <c r="F215" s="11"/>
      <c r="G215" s="11"/>
      <c r="H215" s="11"/>
    </row>
    <row r="216" spans="1:8" x14ac:dyDescent="0.25">
      <c r="A216" s="11"/>
      <c r="B216" s="11"/>
      <c r="C216" s="11"/>
      <c r="D216" s="11"/>
      <c r="E216" s="11"/>
      <c r="F216" s="11"/>
      <c r="G216" s="11"/>
      <c r="H216" s="11"/>
    </row>
    <row r="217" spans="1:8" x14ac:dyDescent="0.25">
      <c r="A217" s="11"/>
      <c r="B217" s="11"/>
      <c r="C217" s="11"/>
      <c r="D217" s="11"/>
      <c r="E217" s="11"/>
      <c r="F217" s="11"/>
      <c r="G217" s="11"/>
      <c r="H217" s="11"/>
    </row>
    <row r="218" spans="1:8" x14ac:dyDescent="0.25">
      <c r="A218" s="11"/>
      <c r="B218" s="11"/>
      <c r="C218" s="11"/>
      <c r="D218" s="11"/>
      <c r="E218" s="11"/>
      <c r="F218" s="11"/>
      <c r="G218" s="11"/>
      <c r="H218" s="11"/>
    </row>
    <row r="219" spans="1:8" x14ac:dyDescent="0.25">
      <c r="A219" s="11"/>
      <c r="B219" s="11"/>
      <c r="C219" s="11"/>
      <c r="D219" s="11"/>
      <c r="E219" s="11"/>
      <c r="F219" s="11"/>
      <c r="G219" s="11"/>
      <c r="H219" s="11"/>
    </row>
    <row r="220" spans="1:8" x14ac:dyDescent="0.25">
      <c r="A220" s="11"/>
      <c r="B220" s="11"/>
      <c r="C220" s="11"/>
      <c r="D220" s="11"/>
      <c r="E220" s="11"/>
      <c r="F220" s="11"/>
      <c r="G220" s="11"/>
      <c r="H220" s="11"/>
    </row>
    <row r="221" spans="1:8" x14ac:dyDescent="0.25">
      <c r="A221" s="11"/>
      <c r="B221" s="11"/>
      <c r="C221" s="11"/>
      <c r="D221" s="11"/>
      <c r="E221" s="11"/>
      <c r="F221" s="11"/>
      <c r="G221" s="11"/>
      <c r="H221" s="11"/>
    </row>
    <row r="222" spans="1:8" x14ac:dyDescent="0.25">
      <c r="A222" s="11"/>
      <c r="B222" s="11"/>
      <c r="C222" s="11"/>
      <c r="D222" s="11"/>
      <c r="E222" s="11"/>
      <c r="F222" s="11"/>
      <c r="G222" s="11"/>
      <c r="H222" s="11"/>
    </row>
    <row r="223" spans="1:8" x14ac:dyDescent="0.25">
      <c r="A223" s="11"/>
      <c r="B223" s="11"/>
      <c r="C223" s="11"/>
      <c r="D223" s="11"/>
      <c r="E223" s="11"/>
      <c r="F223" s="11"/>
      <c r="G223" s="11"/>
      <c r="H223" s="11"/>
    </row>
    <row r="224" spans="1:8" x14ac:dyDescent="0.25">
      <c r="A224" s="11"/>
      <c r="B224" s="11"/>
      <c r="C224" s="11"/>
      <c r="D224" s="11"/>
      <c r="E224" s="11"/>
      <c r="F224" s="11"/>
      <c r="G224" s="11"/>
      <c r="H224" s="11"/>
    </row>
    <row r="225" spans="1:8" x14ac:dyDescent="0.25">
      <c r="A225" s="11"/>
      <c r="B225" s="11"/>
      <c r="C225" s="11"/>
      <c r="D225" s="11"/>
      <c r="E225" s="11"/>
      <c r="F225" s="11"/>
      <c r="G225" s="11"/>
      <c r="H225" s="11"/>
    </row>
    <row r="226" spans="1:8" x14ac:dyDescent="0.25">
      <c r="A226" s="11"/>
      <c r="B226" s="11"/>
      <c r="C226" s="11"/>
      <c r="D226" s="11"/>
      <c r="E226" s="11"/>
      <c r="F226" s="11"/>
      <c r="G226" s="11"/>
      <c r="H226" s="11"/>
    </row>
    <row r="227" spans="1:8" x14ac:dyDescent="0.25">
      <c r="A227" s="11"/>
      <c r="B227" s="11"/>
      <c r="C227" s="11"/>
      <c r="D227" s="11"/>
      <c r="E227" s="11"/>
      <c r="F227" s="11"/>
      <c r="G227" s="11"/>
      <c r="H227" s="11"/>
    </row>
    <row r="228" spans="1:8" x14ac:dyDescent="0.25">
      <c r="A228" s="11"/>
      <c r="B228" s="11"/>
      <c r="C228" s="11"/>
      <c r="D228" s="11"/>
      <c r="E228" s="11"/>
      <c r="F228" s="11"/>
      <c r="G228" s="11"/>
      <c r="H228" s="11"/>
    </row>
    <row r="229" spans="1:8" x14ac:dyDescent="0.25">
      <c r="A229" s="11"/>
      <c r="B229" s="11"/>
      <c r="C229" s="11"/>
      <c r="D229" s="11"/>
      <c r="E229" s="11"/>
      <c r="F229" s="11"/>
      <c r="G229" s="11"/>
      <c r="H229" s="11"/>
    </row>
    <row r="230" spans="1:8" x14ac:dyDescent="0.25">
      <c r="A230" s="11"/>
      <c r="B230" s="11"/>
      <c r="C230" s="11"/>
      <c r="D230" s="11"/>
      <c r="E230" s="11"/>
      <c r="F230" s="11"/>
      <c r="G230" s="11"/>
      <c r="H230" s="11"/>
    </row>
    <row r="231" spans="1:8" x14ac:dyDescent="0.25">
      <c r="A231" s="11"/>
      <c r="B231" s="11"/>
      <c r="C231" s="11"/>
      <c r="D231" s="11"/>
      <c r="E231" s="11"/>
      <c r="F231" s="11"/>
      <c r="G231" s="11"/>
      <c r="H231" s="11"/>
    </row>
    <row r="232" spans="1:8" x14ac:dyDescent="0.25">
      <c r="A232" s="11"/>
      <c r="B232" s="11"/>
      <c r="C232" s="11"/>
      <c r="D232" s="11"/>
      <c r="E232" s="11"/>
      <c r="F232" s="11"/>
      <c r="G232" s="11"/>
      <c r="H232" s="11"/>
    </row>
    <row r="233" spans="1:8" x14ac:dyDescent="0.25">
      <c r="A233" s="11"/>
      <c r="B233" s="11"/>
      <c r="C233" s="11"/>
      <c r="D233" s="11"/>
      <c r="E233" s="11"/>
      <c r="F233" s="11"/>
      <c r="G233" s="11"/>
      <c r="H233" s="11"/>
    </row>
    <row r="234" spans="1:8" x14ac:dyDescent="0.25">
      <c r="A234" s="11"/>
      <c r="B234" s="11"/>
      <c r="C234" s="11"/>
      <c r="D234" s="11"/>
      <c r="E234" s="11"/>
      <c r="F234" s="11"/>
      <c r="G234" s="11"/>
      <c r="H234" s="11"/>
    </row>
    <row r="235" spans="1:8" x14ac:dyDescent="0.25">
      <c r="A235" s="11"/>
      <c r="B235" s="11"/>
      <c r="C235" s="11"/>
      <c r="D235" s="11"/>
      <c r="E235" s="11"/>
      <c r="F235" s="11"/>
      <c r="G235" s="11"/>
      <c r="H235" s="11"/>
    </row>
    <row r="236" spans="1:8" x14ac:dyDescent="0.25">
      <c r="A236" s="11"/>
      <c r="B236" s="11"/>
      <c r="C236" s="11"/>
      <c r="D236" s="11"/>
      <c r="E236" s="11"/>
      <c r="F236" s="11"/>
      <c r="G236" s="11"/>
      <c r="H236" s="11"/>
    </row>
    <row r="237" spans="1:8" x14ac:dyDescent="0.25">
      <c r="A237" s="11"/>
      <c r="B237" s="11"/>
      <c r="C237" s="11"/>
      <c r="D237" s="11"/>
      <c r="E237" s="11"/>
      <c r="F237" s="11"/>
      <c r="G237" s="11"/>
      <c r="H237" s="11"/>
    </row>
    <row r="238" spans="1:8" x14ac:dyDescent="0.25">
      <c r="A238" s="11"/>
      <c r="B238" s="11"/>
      <c r="C238" s="11"/>
      <c r="D238" s="11"/>
      <c r="E238" s="11"/>
      <c r="F238" s="11"/>
      <c r="G238" s="11"/>
      <c r="H238" s="11"/>
    </row>
    <row r="239" spans="1:8" x14ac:dyDescent="0.25">
      <c r="A239" s="11"/>
      <c r="B239" s="11"/>
      <c r="C239" s="11"/>
      <c r="D239" s="11"/>
      <c r="E239" s="11"/>
      <c r="F239" s="11"/>
      <c r="G239" s="11"/>
      <c r="H239" s="11"/>
    </row>
    <row r="240" spans="1:8" x14ac:dyDescent="0.25">
      <c r="A240" s="11"/>
      <c r="B240" s="11"/>
      <c r="C240" s="11"/>
      <c r="D240" s="11"/>
      <c r="E240" s="11"/>
      <c r="F240" s="11"/>
      <c r="G240" s="11"/>
      <c r="H240" s="11"/>
    </row>
    <row r="241" spans="1:8" x14ac:dyDescent="0.25">
      <c r="A241" s="11"/>
      <c r="B241" s="11"/>
      <c r="C241" s="11"/>
      <c r="D241" s="11"/>
      <c r="E241" s="11"/>
      <c r="F241" s="11"/>
      <c r="G241" s="11"/>
      <c r="H241" s="11"/>
    </row>
    <row r="242" spans="1:8" x14ac:dyDescent="0.25">
      <c r="A242" s="11"/>
      <c r="B242" s="11"/>
      <c r="C242" s="11"/>
      <c r="D242" s="11"/>
      <c r="E242" s="11"/>
      <c r="F242" s="11"/>
      <c r="G242" s="11"/>
      <c r="H242" s="11"/>
    </row>
    <row r="243" spans="1:8" x14ac:dyDescent="0.25">
      <c r="A243" s="11"/>
      <c r="B243" s="11"/>
      <c r="C243" s="11"/>
      <c r="D243" s="11"/>
      <c r="E243" s="11"/>
      <c r="F243" s="11"/>
      <c r="G243" s="11"/>
      <c r="H243" s="11"/>
    </row>
    <row r="244" spans="1:8" x14ac:dyDescent="0.25">
      <c r="A244" s="11"/>
      <c r="B244" s="11"/>
      <c r="C244" s="11"/>
      <c r="D244" s="11"/>
      <c r="E244" s="11"/>
      <c r="F244" s="11"/>
      <c r="G244" s="11"/>
      <c r="H244" s="11"/>
    </row>
    <row r="245" spans="1:8" x14ac:dyDescent="0.25">
      <c r="A245" s="11"/>
      <c r="B245" s="11"/>
      <c r="C245" s="11"/>
      <c r="D245" s="11"/>
      <c r="E245" s="11"/>
      <c r="F245" s="11"/>
      <c r="G245" s="11"/>
      <c r="H245" s="11"/>
    </row>
    <row r="246" spans="1:8" x14ac:dyDescent="0.25">
      <c r="A246" s="11"/>
      <c r="B246" s="11"/>
      <c r="C246" s="11"/>
      <c r="D246" s="11"/>
      <c r="E246" s="11"/>
      <c r="F246" s="11"/>
      <c r="G246" s="11"/>
      <c r="H246" s="11"/>
    </row>
    <row r="247" spans="1:8" x14ac:dyDescent="0.25">
      <c r="A247" s="11"/>
      <c r="B247" s="11"/>
      <c r="C247" s="11"/>
      <c r="D247" s="11"/>
      <c r="E247" s="11"/>
      <c r="F247" s="11"/>
      <c r="G247" s="11"/>
      <c r="H247" s="11"/>
    </row>
    <row r="248" spans="1:8" x14ac:dyDescent="0.25">
      <c r="A248" s="11"/>
      <c r="B248" s="11"/>
      <c r="C248" s="11"/>
      <c r="D248" s="11"/>
      <c r="E248" s="11"/>
      <c r="F248" s="11"/>
      <c r="G248" s="11"/>
      <c r="H248" s="11"/>
    </row>
    <row r="249" spans="1:8" x14ac:dyDescent="0.25">
      <c r="A249" s="11"/>
      <c r="B249" s="11"/>
      <c r="C249" s="11"/>
      <c r="D249" s="11"/>
      <c r="E249" s="11"/>
      <c r="F249" s="11"/>
      <c r="G249" s="11"/>
      <c r="H249" s="11"/>
    </row>
    <row r="250" spans="1:8" x14ac:dyDescent="0.25">
      <c r="A250" s="11"/>
      <c r="B250" s="11"/>
      <c r="C250" s="11"/>
      <c r="D250" s="11"/>
      <c r="E250" s="11"/>
      <c r="F250" s="11"/>
      <c r="G250" s="11"/>
      <c r="H250" s="11"/>
    </row>
    <row r="251" spans="1:8" x14ac:dyDescent="0.25">
      <c r="A251" s="11"/>
      <c r="B251" s="11"/>
      <c r="C251" s="11"/>
      <c r="D251" s="11"/>
      <c r="E251" s="11"/>
      <c r="F251" s="11"/>
      <c r="G251" s="11"/>
      <c r="H251" s="11"/>
    </row>
    <row r="252" spans="1:8" x14ac:dyDescent="0.25">
      <c r="A252" s="11"/>
      <c r="B252" s="11"/>
      <c r="C252" s="11"/>
      <c r="D252" s="11"/>
      <c r="E252" s="11"/>
      <c r="F252" s="11"/>
      <c r="G252" s="11"/>
      <c r="H252" s="11"/>
    </row>
    <row r="253" spans="1:8" x14ac:dyDescent="0.25">
      <c r="A253" s="11"/>
      <c r="B253" s="11"/>
      <c r="C253" s="11"/>
      <c r="D253" s="11"/>
      <c r="E253" s="11"/>
      <c r="F253" s="11"/>
      <c r="G253" s="11"/>
      <c r="H253" s="11"/>
    </row>
    <row r="254" spans="1:8" x14ac:dyDescent="0.25">
      <c r="A254" s="11"/>
      <c r="B254" s="11"/>
      <c r="C254" s="11"/>
      <c r="D254" s="11"/>
      <c r="E254" s="11"/>
      <c r="F254" s="11"/>
      <c r="G254" s="11"/>
      <c r="H254" s="11"/>
    </row>
    <row r="255" spans="1:8" x14ac:dyDescent="0.25">
      <c r="A255" s="11"/>
      <c r="B255" s="11"/>
      <c r="C255" s="11"/>
      <c r="D255" s="11"/>
      <c r="E255" s="11"/>
      <c r="F255" s="11"/>
      <c r="G255" s="11"/>
      <c r="H255" s="11"/>
    </row>
    <row r="256" spans="1:8" x14ac:dyDescent="0.25">
      <c r="A256" s="11"/>
      <c r="B256" s="11"/>
      <c r="C256" s="11"/>
      <c r="D256" s="11"/>
      <c r="E256" s="11"/>
      <c r="F256" s="11"/>
      <c r="G256" s="11"/>
      <c r="H256" s="11"/>
    </row>
    <row r="257" spans="1:8" x14ac:dyDescent="0.25">
      <c r="A257" s="11"/>
      <c r="B257" s="11"/>
      <c r="C257" s="11"/>
      <c r="D257" s="11"/>
      <c r="E257" s="11"/>
      <c r="F257" s="11"/>
      <c r="G257" s="11"/>
      <c r="H257" s="11"/>
    </row>
    <row r="258" spans="1:8" x14ac:dyDescent="0.25">
      <c r="A258" s="11"/>
      <c r="B258" s="11"/>
      <c r="C258" s="11"/>
      <c r="D258" s="11"/>
      <c r="E258" s="11"/>
      <c r="F258" s="11"/>
      <c r="G258" s="11"/>
      <c r="H258" s="11"/>
    </row>
    <row r="259" spans="1:8" x14ac:dyDescent="0.25">
      <c r="A259" s="11"/>
      <c r="B259" s="11"/>
      <c r="C259" s="11"/>
      <c r="D259" s="11"/>
      <c r="E259" s="11"/>
      <c r="F259" s="11"/>
      <c r="G259" s="11"/>
      <c r="H259" s="11"/>
    </row>
    <row r="260" spans="1:8" x14ac:dyDescent="0.25">
      <c r="A260" s="11"/>
      <c r="B260" s="11"/>
      <c r="C260" s="11"/>
      <c r="D260" s="11"/>
      <c r="E260" s="11"/>
      <c r="F260" s="11"/>
      <c r="G260" s="11"/>
      <c r="H260" s="11"/>
    </row>
    <row r="261" spans="1:8" x14ac:dyDescent="0.25">
      <c r="A261" s="11"/>
      <c r="B261" s="11"/>
      <c r="C261" s="11"/>
      <c r="D261" s="11"/>
      <c r="E261" s="11"/>
      <c r="F261" s="11"/>
      <c r="G261" s="11"/>
      <c r="H261" s="11"/>
    </row>
    <row r="262" spans="1:8" x14ac:dyDescent="0.25">
      <c r="A262" s="11"/>
      <c r="B262" s="11"/>
      <c r="C262" s="11"/>
      <c r="D262" s="11"/>
      <c r="E262" s="11"/>
      <c r="F262" s="11"/>
      <c r="G262" s="11"/>
      <c r="H262" s="11"/>
    </row>
    <row r="263" spans="1:8" x14ac:dyDescent="0.25">
      <c r="A263" s="11"/>
      <c r="B263" s="11"/>
      <c r="C263" s="11"/>
      <c r="D263" s="11"/>
      <c r="E263" s="11"/>
      <c r="F263" s="11"/>
      <c r="G263" s="11"/>
      <c r="H263" s="11"/>
    </row>
    <row r="264" spans="1:8" x14ac:dyDescent="0.25">
      <c r="A264" s="11"/>
      <c r="B264" s="11"/>
      <c r="C264" s="11"/>
      <c r="D264" s="11"/>
      <c r="E264" s="11"/>
      <c r="F264" s="11"/>
      <c r="G264" s="11"/>
      <c r="H264" s="11"/>
    </row>
    <row r="265" spans="1:8" x14ac:dyDescent="0.25">
      <c r="A265" s="11"/>
      <c r="B265" s="11"/>
      <c r="C265" s="11"/>
      <c r="D265" s="11"/>
      <c r="E265" s="11"/>
      <c r="F265" s="11"/>
      <c r="G265" s="11"/>
      <c r="H265" s="11"/>
    </row>
    <row r="266" spans="1:8" x14ac:dyDescent="0.25">
      <c r="A266" s="11"/>
      <c r="B266" s="11"/>
      <c r="C266" s="11"/>
      <c r="D266" s="11"/>
      <c r="E266" s="11"/>
      <c r="F266" s="11"/>
      <c r="G266" s="11"/>
      <c r="H266" s="11"/>
    </row>
    <row r="267" spans="1:8" x14ac:dyDescent="0.25">
      <c r="A267" s="11"/>
      <c r="B267" s="11"/>
      <c r="C267" s="11"/>
      <c r="D267" s="11"/>
      <c r="E267" s="11"/>
      <c r="F267" s="11"/>
      <c r="G267" s="11"/>
      <c r="H267" s="11"/>
    </row>
    <row r="268" spans="1:8" x14ac:dyDescent="0.25">
      <c r="A268" s="11"/>
      <c r="B268" s="11"/>
      <c r="C268" s="11"/>
      <c r="D268" s="11"/>
      <c r="E268" s="11"/>
      <c r="F268" s="11"/>
      <c r="G268" s="11"/>
      <c r="H268" s="11"/>
    </row>
    <row r="269" spans="1:8" x14ac:dyDescent="0.25">
      <c r="A269" s="11"/>
      <c r="B269" s="11"/>
      <c r="C269" s="11"/>
      <c r="D269" s="11"/>
      <c r="E269" s="11"/>
      <c r="F269" s="11"/>
      <c r="G269" s="11"/>
      <c r="H269" s="11"/>
    </row>
    <row r="270" spans="1:8" x14ac:dyDescent="0.25">
      <c r="A270" s="11"/>
      <c r="B270" s="11"/>
      <c r="C270" s="11"/>
      <c r="D270" s="11"/>
      <c r="E270" s="11"/>
      <c r="F270" s="11"/>
      <c r="G270" s="11"/>
      <c r="H270" s="11"/>
    </row>
    <row r="271" spans="1:8" x14ac:dyDescent="0.25">
      <c r="A271" s="11"/>
      <c r="B271" s="11"/>
      <c r="C271" s="11"/>
      <c r="D271" s="11"/>
      <c r="E271" s="11"/>
      <c r="F271" s="11"/>
      <c r="G271" s="11"/>
      <c r="H271" s="11"/>
    </row>
    <row r="272" spans="1:8" x14ac:dyDescent="0.25">
      <c r="A272" s="11"/>
      <c r="B272" s="11"/>
      <c r="C272" s="11"/>
      <c r="D272" s="11"/>
      <c r="E272" s="11"/>
      <c r="F272" s="11"/>
      <c r="G272" s="11"/>
      <c r="H272" s="11"/>
    </row>
    <row r="273" spans="1:8" x14ac:dyDescent="0.25">
      <c r="A273" s="11"/>
      <c r="B273" s="11"/>
      <c r="C273" s="11"/>
      <c r="D273" s="11"/>
      <c r="E273" s="11"/>
      <c r="F273" s="11"/>
      <c r="G273" s="11"/>
      <c r="H273" s="11"/>
    </row>
    <row r="274" spans="1:8" x14ac:dyDescent="0.25">
      <c r="A274" s="11"/>
      <c r="B274" s="11"/>
      <c r="C274" s="11"/>
      <c r="D274" s="11"/>
      <c r="E274" s="11"/>
      <c r="F274" s="11"/>
      <c r="G274" s="11"/>
      <c r="H274" s="11"/>
    </row>
  </sheetData>
  <mergeCells count="2">
    <mergeCell ref="B28:H28"/>
    <mergeCell ref="A4:H4"/>
  </mergeCells>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 r:id="rId2"/>
  <legacyDrawingHF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H274"/>
  <sheetViews>
    <sheetView showGridLines="0" zoomScale="80" zoomScaleNormal="80" workbookViewId="0">
      <selection activeCell="B6" sqref="B6"/>
    </sheetView>
  </sheetViews>
  <sheetFormatPr defaultRowHeight="15" x14ac:dyDescent="0.25"/>
  <cols>
    <col min="2" max="2" width="25.5703125" bestFit="1" customWidth="1"/>
    <col min="3" max="3" width="12.140625" customWidth="1"/>
    <col min="4" max="4" width="13" bestFit="1" customWidth="1"/>
    <col min="5" max="5" width="13.140625" bestFit="1" customWidth="1"/>
    <col min="6" max="6" width="12.42578125" bestFit="1" customWidth="1"/>
    <col min="7" max="7" width="15.140625" bestFit="1" customWidth="1"/>
    <col min="8" max="8" width="13.85546875" customWidth="1"/>
  </cols>
  <sheetData>
    <row r="1" spans="1:8" x14ac:dyDescent="0.25">
      <c r="C1" s="36" t="s">
        <v>88</v>
      </c>
      <c r="D1" s="35" t="str">
        <f>Summary!$E$2</f>
        <v>&lt;Client/Prospect Name&gt;</v>
      </c>
      <c r="E1" s="35"/>
    </row>
    <row r="2" spans="1:8" x14ac:dyDescent="0.25">
      <c r="C2" s="36" t="s">
        <v>89</v>
      </c>
      <c r="D2" s="35" t="str">
        <f>Summary!$E$3</f>
        <v>&lt;Project/Requirement &gt;</v>
      </c>
      <c r="E2" s="35"/>
    </row>
    <row r="3" spans="1:8" x14ac:dyDescent="0.25">
      <c r="B3" s="11"/>
      <c r="C3" s="44"/>
      <c r="D3" s="11"/>
      <c r="E3" s="11"/>
      <c r="F3" s="11"/>
    </row>
    <row r="4" spans="1:8" ht="18.75" x14ac:dyDescent="0.3">
      <c r="A4" s="124" t="s">
        <v>103</v>
      </c>
      <c r="B4" s="124"/>
      <c r="C4" s="124"/>
      <c r="D4" s="124"/>
      <c r="E4" s="124"/>
      <c r="F4" s="124"/>
      <c r="G4" s="124"/>
      <c r="H4" s="124"/>
    </row>
    <row r="5" spans="1:8" ht="15.75" thickBot="1" x14ac:dyDescent="0.3"/>
    <row r="6" spans="1:8" ht="29.25" customHeight="1" x14ac:dyDescent="0.25">
      <c r="A6" s="40" t="s">
        <v>1</v>
      </c>
      <c r="B6" s="41" t="s">
        <v>0</v>
      </c>
      <c r="C6" s="41" t="str">
        <f>CONCATENATE("Cost (",Summary!$E$9,")")</f>
        <v>Cost (INR)</v>
      </c>
      <c r="D6" s="41" t="str">
        <f>CONCATENATE("Rate (",Summary!$E$9,")")</f>
        <v>Rate (INR)</v>
      </c>
      <c r="E6" s="41" t="str">
        <f>CONCATENATE("Effort  (",Summary!$E$8,")")</f>
        <v>Effort  (Days)</v>
      </c>
      <c r="F6" s="41" t="str">
        <f>CONCATENATE("Cost Total (",Summary!$E$9,")")</f>
        <v>Cost Total (INR)</v>
      </c>
      <c r="G6" s="41" t="str">
        <f>CONCATENATE("Revenue Total (",Summary!$E$9,")")</f>
        <v>Revenue Total (INR)</v>
      </c>
      <c r="H6" s="41" t="s">
        <v>42</v>
      </c>
    </row>
    <row r="7" spans="1:8" x14ac:dyDescent="0.25">
      <c r="A7" s="42">
        <f>'Detailed Dev Efforts'!A7</f>
        <v>1</v>
      </c>
      <c r="B7" s="7" t="s">
        <v>120</v>
      </c>
      <c r="C7" s="27">
        <v>1625</v>
      </c>
      <c r="D7" s="27">
        <v>3250</v>
      </c>
      <c r="E7" s="26">
        <v>42</v>
      </c>
      <c r="F7" s="27">
        <f>E7*C7</f>
        <v>68250</v>
      </c>
      <c r="G7" s="27">
        <f>D7*E7</f>
        <v>136500</v>
      </c>
      <c r="H7" s="43">
        <f>IF(E7&gt;0,((D7*E7)-(C7*E7))/(D7*E7),0)</f>
        <v>0.5</v>
      </c>
    </row>
    <row r="8" spans="1:8" x14ac:dyDescent="0.25">
      <c r="A8" s="42">
        <v>2</v>
      </c>
      <c r="B8" s="7"/>
      <c r="C8" s="27">
        <v>0</v>
      </c>
      <c r="D8" s="27">
        <v>0</v>
      </c>
      <c r="E8" s="26">
        <v>0</v>
      </c>
      <c r="F8" s="27">
        <f t="shared" ref="F8:F17" si="0">E8*C8</f>
        <v>0</v>
      </c>
      <c r="G8" s="27">
        <f t="shared" ref="G8:G17" si="1">D8*E8</f>
        <v>0</v>
      </c>
      <c r="H8" s="43">
        <f t="shared" ref="H8:H17" si="2">IF(E8&gt;0,((D8*E8)-(C8*E8))/(C8*E8),0)</f>
        <v>0</v>
      </c>
    </row>
    <row r="9" spans="1:8" x14ac:dyDescent="0.25">
      <c r="A9" s="42">
        <f>'Detailed Dev Efforts'!A9</f>
        <v>3</v>
      </c>
      <c r="B9" s="7"/>
      <c r="C9" s="27">
        <v>0</v>
      </c>
      <c r="D9" s="27">
        <v>0</v>
      </c>
      <c r="E9" s="26">
        <v>0</v>
      </c>
      <c r="F9" s="27">
        <f t="shared" si="0"/>
        <v>0</v>
      </c>
      <c r="G9" s="27">
        <f t="shared" si="1"/>
        <v>0</v>
      </c>
      <c r="H9" s="43">
        <f t="shared" si="2"/>
        <v>0</v>
      </c>
    </row>
    <row r="10" spans="1:8" x14ac:dyDescent="0.25">
      <c r="A10" s="42">
        <v>4</v>
      </c>
      <c r="B10" s="7"/>
      <c r="C10" s="27">
        <v>0</v>
      </c>
      <c r="D10" s="27">
        <v>0</v>
      </c>
      <c r="E10" s="26">
        <v>0</v>
      </c>
      <c r="F10" s="27">
        <f t="shared" si="0"/>
        <v>0</v>
      </c>
      <c r="G10" s="27">
        <f t="shared" si="1"/>
        <v>0</v>
      </c>
      <c r="H10" s="43">
        <f t="shared" si="2"/>
        <v>0</v>
      </c>
    </row>
    <row r="11" spans="1:8" x14ac:dyDescent="0.25">
      <c r="A11" s="42">
        <v>5</v>
      </c>
      <c r="B11" s="7"/>
      <c r="C11" s="27">
        <v>0</v>
      </c>
      <c r="D11" s="27">
        <v>0</v>
      </c>
      <c r="E11" s="26">
        <v>0</v>
      </c>
      <c r="F11" s="27">
        <f t="shared" si="0"/>
        <v>0</v>
      </c>
      <c r="G11" s="27">
        <f t="shared" si="1"/>
        <v>0</v>
      </c>
      <c r="H11" s="43">
        <f t="shared" si="2"/>
        <v>0</v>
      </c>
    </row>
    <row r="12" spans="1:8" x14ac:dyDescent="0.25">
      <c r="A12" s="42">
        <v>6</v>
      </c>
      <c r="B12" s="7"/>
      <c r="C12" s="27">
        <v>0</v>
      </c>
      <c r="D12" s="27">
        <v>0</v>
      </c>
      <c r="E12" s="26">
        <v>0</v>
      </c>
      <c r="F12" s="27">
        <f t="shared" si="0"/>
        <v>0</v>
      </c>
      <c r="G12" s="27">
        <f t="shared" si="1"/>
        <v>0</v>
      </c>
      <c r="H12" s="43">
        <f t="shared" si="2"/>
        <v>0</v>
      </c>
    </row>
    <row r="13" spans="1:8" x14ac:dyDescent="0.25">
      <c r="A13" s="42">
        <v>7</v>
      </c>
      <c r="B13" s="7"/>
      <c r="C13" s="27">
        <v>0</v>
      </c>
      <c r="D13" s="27">
        <v>0</v>
      </c>
      <c r="E13" s="26">
        <v>0</v>
      </c>
      <c r="F13" s="27">
        <f t="shared" si="0"/>
        <v>0</v>
      </c>
      <c r="G13" s="27">
        <f t="shared" si="1"/>
        <v>0</v>
      </c>
      <c r="H13" s="43">
        <f t="shared" si="2"/>
        <v>0</v>
      </c>
    </row>
    <row r="14" spans="1:8" x14ac:dyDescent="0.25">
      <c r="A14" s="42">
        <v>8</v>
      </c>
      <c r="B14" s="7"/>
      <c r="C14" s="27">
        <v>0</v>
      </c>
      <c r="D14" s="27">
        <v>0</v>
      </c>
      <c r="E14" s="26">
        <v>0</v>
      </c>
      <c r="F14" s="27">
        <f t="shared" si="0"/>
        <v>0</v>
      </c>
      <c r="G14" s="27">
        <f t="shared" si="1"/>
        <v>0</v>
      </c>
      <c r="H14" s="43">
        <f t="shared" si="2"/>
        <v>0</v>
      </c>
    </row>
    <row r="15" spans="1:8" x14ac:dyDescent="0.25">
      <c r="A15" s="42">
        <f>'Detailed Dev Efforts'!A15</f>
        <v>9</v>
      </c>
      <c r="B15" s="7"/>
      <c r="C15" s="27">
        <v>0</v>
      </c>
      <c r="D15" s="27">
        <v>0</v>
      </c>
      <c r="E15" s="26">
        <v>0</v>
      </c>
      <c r="F15" s="27">
        <f t="shared" si="0"/>
        <v>0</v>
      </c>
      <c r="G15" s="27">
        <f t="shared" si="1"/>
        <v>0</v>
      </c>
      <c r="H15" s="43">
        <f t="shared" si="2"/>
        <v>0</v>
      </c>
    </row>
    <row r="16" spans="1:8" x14ac:dyDescent="0.25">
      <c r="A16" s="42">
        <v>10</v>
      </c>
      <c r="B16" s="7"/>
      <c r="C16" s="27">
        <v>0</v>
      </c>
      <c r="D16" s="27">
        <v>0</v>
      </c>
      <c r="E16" s="26">
        <v>0</v>
      </c>
      <c r="F16" s="27">
        <f t="shared" si="0"/>
        <v>0</v>
      </c>
      <c r="G16" s="27">
        <f t="shared" si="1"/>
        <v>0</v>
      </c>
      <c r="H16" s="43">
        <f t="shared" si="2"/>
        <v>0</v>
      </c>
    </row>
    <row r="17" spans="1:8" x14ac:dyDescent="0.25">
      <c r="A17" s="42">
        <v>11</v>
      </c>
      <c r="B17" s="7"/>
      <c r="C17" s="27">
        <v>0</v>
      </c>
      <c r="D17" s="27">
        <v>0</v>
      </c>
      <c r="E17" s="26">
        <v>0</v>
      </c>
      <c r="F17" s="27">
        <f t="shared" si="0"/>
        <v>0</v>
      </c>
      <c r="G17" s="27">
        <f t="shared" si="1"/>
        <v>0</v>
      </c>
      <c r="H17" s="43">
        <f t="shared" si="2"/>
        <v>0</v>
      </c>
    </row>
    <row r="18" spans="1:8" x14ac:dyDescent="0.25">
      <c r="A18" s="42">
        <v>12</v>
      </c>
      <c r="B18" s="7"/>
      <c r="C18" s="27">
        <v>0</v>
      </c>
      <c r="D18" s="27">
        <v>0</v>
      </c>
      <c r="E18" s="26">
        <v>0</v>
      </c>
      <c r="F18" s="27">
        <f t="shared" ref="F18:F26" si="3">E18*C18</f>
        <v>0</v>
      </c>
      <c r="G18" s="27">
        <f t="shared" ref="G18:G26" si="4">D18*E18</f>
        <v>0</v>
      </c>
      <c r="H18" s="43">
        <f t="shared" ref="H18:H26" si="5">IF(E18&gt;0,((D18*E18)-(C18*E18))/(C18*E18),0)</f>
        <v>0</v>
      </c>
    </row>
    <row r="19" spans="1:8" x14ac:dyDescent="0.25">
      <c r="A19" s="42">
        <v>13</v>
      </c>
      <c r="B19" s="7"/>
      <c r="C19" s="27">
        <v>0</v>
      </c>
      <c r="D19" s="27">
        <v>0</v>
      </c>
      <c r="E19" s="26">
        <v>0</v>
      </c>
      <c r="F19" s="27">
        <f t="shared" si="3"/>
        <v>0</v>
      </c>
      <c r="G19" s="27">
        <f t="shared" si="4"/>
        <v>0</v>
      </c>
      <c r="H19" s="43">
        <f t="shared" si="5"/>
        <v>0</v>
      </c>
    </row>
    <row r="20" spans="1:8" x14ac:dyDescent="0.25">
      <c r="A20" s="42">
        <v>14</v>
      </c>
      <c r="B20" s="7"/>
      <c r="C20" s="27">
        <v>0</v>
      </c>
      <c r="D20" s="27">
        <v>0</v>
      </c>
      <c r="E20" s="26">
        <v>0</v>
      </c>
      <c r="F20" s="27">
        <f t="shared" si="3"/>
        <v>0</v>
      </c>
      <c r="G20" s="27">
        <f t="shared" si="4"/>
        <v>0</v>
      </c>
      <c r="H20" s="43">
        <f t="shared" si="5"/>
        <v>0</v>
      </c>
    </row>
    <row r="21" spans="1:8" x14ac:dyDescent="0.25">
      <c r="A21" s="42">
        <f>'Detailed Dev Efforts'!A21</f>
        <v>15</v>
      </c>
      <c r="B21" s="7"/>
      <c r="C21" s="27">
        <v>0</v>
      </c>
      <c r="D21" s="27">
        <v>0</v>
      </c>
      <c r="E21" s="26">
        <v>0</v>
      </c>
      <c r="F21" s="27">
        <f t="shared" si="3"/>
        <v>0</v>
      </c>
      <c r="G21" s="27">
        <f t="shared" si="4"/>
        <v>0</v>
      </c>
      <c r="H21" s="43">
        <f t="shared" si="5"/>
        <v>0</v>
      </c>
    </row>
    <row r="22" spans="1:8" x14ac:dyDescent="0.25">
      <c r="A22" s="42">
        <v>16</v>
      </c>
      <c r="B22" s="7"/>
      <c r="C22" s="27">
        <v>0</v>
      </c>
      <c r="D22" s="27">
        <v>0</v>
      </c>
      <c r="E22" s="26">
        <v>0</v>
      </c>
      <c r="F22" s="27">
        <f t="shared" si="3"/>
        <v>0</v>
      </c>
      <c r="G22" s="27">
        <f t="shared" si="4"/>
        <v>0</v>
      </c>
      <c r="H22" s="43">
        <f t="shared" si="5"/>
        <v>0</v>
      </c>
    </row>
    <row r="23" spans="1:8" x14ac:dyDescent="0.25">
      <c r="A23" s="42">
        <v>17</v>
      </c>
      <c r="B23" s="7"/>
      <c r="C23" s="27">
        <v>0</v>
      </c>
      <c r="D23" s="27">
        <v>0</v>
      </c>
      <c r="E23" s="26">
        <v>0</v>
      </c>
      <c r="F23" s="27">
        <f t="shared" si="3"/>
        <v>0</v>
      </c>
      <c r="G23" s="27">
        <f t="shared" si="4"/>
        <v>0</v>
      </c>
      <c r="H23" s="43">
        <f t="shared" si="5"/>
        <v>0</v>
      </c>
    </row>
    <row r="24" spans="1:8" x14ac:dyDescent="0.25">
      <c r="A24" s="42">
        <v>18</v>
      </c>
      <c r="B24" s="7"/>
      <c r="C24" s="27">
        <v>0</v>
      </c>
      <c r="D24" s="27">
        <v>0</v>
      </c>
      <c r="E24" s="26">
        <v>0</v>
      </c>
      <c r="F24" s="27">
        <f t="shared" si="3"/>
        <v>0</v>
      </c>
      <c r="G24" s="27">
        <f t="shared" si="4"/>
        <v>0</v>
      </c>
      <c r="H24" s="43">
        <f t="shared" si="5"/>
        <v>0</v>
      </c>
    </row>
    <row r="25" spans="1:8" x14ac:dyDescent="0.25">
      <c r="A25" s="42">
        <v>19</v>
      </c>
      <c r="B25" s="7"/>
      <c r="C25" s="27">
        <v>0</v>
      </c>
      <c r="D25" s="27">
        <v>0</v>
      </c>
      <c r="E25" s="26">
        <v>0</v>
      </c>
      <c r="F25" s="27">
        <f t="shared" si="3"/>
        <v>0</v>
      </c>
      <c r="G25" s="27">
        <f t="shared" si="4"/>
        <v>0</v>
      </c>
      <c r="H25" s="43">
        <f t="shared" si="5"/>
        <v>0</v>
      </c>
    </row>
    <row r="26" spans="1:8" x14ac:dyDescent="0.25">
      <c r="A26" s="42">
        <v>20</v>
      </c>
      <c r="B26" s="7"/>
      <c r="C26" s="27">
        <v>0</v>
      </c>
      <c r="D26" s="27">
        <v>0</v>
      </c>
      <c r="E26" s="26">
        <v>0</v>
      </c>
      <c r="F26" s="27">
        <f t="shared" si="3"/>
        <v>0</v>
      </c>
      <c r="G26" s="27">
        <f t="shared" si="4"/>
        <v>0</v>
      </c>
      <c r="H26" s="43">
        <f t="shared" si="5"/>
        <v>0</v>
      </c>
    </row>
    <row r="27" spans="1:8" x14ac:dyDescent="0.25">
      <c r="A27" s="21"/>
      <c r="B27" s="22"/>
      <c r="C27" s="22"/>
      <c r="D27" s="22"/>
      <c r="E27" s="23">
        <f>SUM(E7:E26)</f>
        <v>42</v>
      </c>
      <c r="F27" s="24">
        <f>SUM(F7:F26)</f>
        <v>68250</v>
      </c>
      <c r="G27" s="24">
        <f>SUM(G7:G26)</f>
        <v>136500</v>
      </c>
      <c r="H27" s="25">
        <f>(G27-F27)/G27</f>
        <v>0.5</v>
      </c>
    </row>
    <row r="28" spans="1:8" x14ac:dyDescent="0.25">
      <c r="A28" s="28"/>
      <c r="B28" s="121" t="s">
        <v>93</v>
      </c>
      <c r="C28" s="122"/>
      <c r="D28" s="122"/>
      <c r="E28" s="122"/>
      <c r="F28" s="122"/>
      <c r="G28" s="122"/>
      <c r="H28" s="123"/>
    </row>
    <row r="29" spans="1:8" x14ac:dyDescent="0.25">
      <c r="A29" s="20"/>
      <c r="B29" s="50" t="s">
        <v>95</v>
      </c>
      <c r="C29" s="50"/>
      <c r="D29" s="50" t="s">
        <v>96</v>
      </c>
      <c r="E29" s="50" t="s">
        <v>97</v>
      </c>
      <c r="F29" s="50" t="s">
        <v>98</v>
      </c>
      <c r="G29" s="50"/>
      <c r="H29" s="50"/>
    </row>
    <row r="30" spans="1:8" x14ac:dyDescent="0.25">
      <c r="A30" s="20"/>
      <c r="B30" s="20" t="s">
        <v>94</v>
      </c>
      <c r="C30" s="20"/>
      <c r="D30" s="20">
        <v>25</v>
      </c>
      <c r="E30" s="26">
        <v>100</v>
      </c>
      <c r="F30" s="26">
        <f>D30*E30</f>
        <v>2500</v>
      </c>
      <c r="G30" s="29"/>
      <c r="H30" s="30"/>
    </row>
    <row r="31" spans="1:8" x14ac:dyDescent="0.25">
      <c r="A31" s="20"/>
      <c r="B31" s="20"/>
      <c r="C31" s="20"/>
      <c r="D31" s="20"/>
      <c r="E31" s="26"/>
      <c r="F31" s="26">
        <f t="shared" ref="F31:F38" si="6">D31*E31</f>
        <v>0</v>
      </c>
      <c r="G31" s="29"/>
      <c r="H31" s="30"/>
    </row>
    <row r="32" spans="1:8" x14ac:dyDescent="0.25">
      <c r="A32" s="20"/>
      <c r="B32" s="20"/>
      <c r="C32" s="20"/>
      <c r="D32" s="20"/>
      <c r="E32" s="26"/>
      <c r="F32" s="26">
        <f t="shared" si="6"/>
        <v>0</v>
      </c>
      <c r="G32" s="27"/>
      <c r="H32" s="26"/>
    </row>
    <row r="33" spans="1:8" x14ac:dyDescent="0.25">
      <c r="A33" s="20"/>
      <c r="B33" s="20"/>
      <c r="C33" s="20"/>
      <c r="D33" s="20"/>
      <c r="E33" s="26"/>
      <c r="F33" s="26">
        <f t="shared" si="6"/>
        <v>0</v>
      </c>
      <c r="G33" s="26"/>
      <c r="H33" s="26"/>
    </row>
    <row r="34" spans="1:8" x14ac:dyDescent="0.25">
      <c r="A34" s="20"/>
      <c r="B34" s="20"/>
      <c r="C34" s="20"/>
      <c r="D34" s="20"/>
      <c r="E34" s="26"/>
      <c r="F34" s="26">
        <f t="shared" si="6"/>
        <v>0</v>
      </c>
      <c r="G34" s="26"/>
      <c r="H34" s="26"/>
    </row>
    <row r="35" spans="1:8" x14ac:dyDescent="0.25">
      <c r="A35" s="20"/>
      <c r="B35" s="20"/>
      <c r="C35" s="20"/>
      <c r="D35" s="20"/>
      <c r="E35" s="26"/>
      <c r="F35" s="26">
        <f t="shared" si="6"/>
        <v>0</v>
      </c>
      <c r="G35" s="26"/>
      <c r="H35" s="26"/>
    </row>
    <row r="36" spans="1:8" x14ac:dyDescent="0.25">
      <c r="A36" s="20"/>
      <c r="B36" s="20"/>
      <c r="C36" s="20"/>
      <c r="D36" s="20"/>
      <c r="E36" s="26"/>
      <c r="F36" s="26">
        <f t="shared" si="6"/>
        <v>0</v>
      </c>
      <c r="G36" s="26"/>
      <c r="H36" s="26"/>
    </row>
    <row r="37" spans="1:8" x14ac:dyDescent="0.25">
      <c r="A37" s="20"/>
      <c r="B37" s="20"/>
      <c r="C37" s="20"/>
      <c r="D37" s="20"/>
      <c r="E37" s="26"/>
      <c r="F37" s="26">
        <f t="shared" si="6"/>
        <v>0</v>
      </c>
      <c r="G37" s="26"/>
      <c r="H37" s="26"/>
    </row>
    <row r="38" spans="1:8" x14ac:dyDescent="0.25">
      <c r="A38" s="20"/>
      <c r="B38" s="20"/>
      <c r="C38" s="20"/>
      <c r="D38" s="20"/>
      <c r="E38" s="26"/>
      <c r="F38" s="26">
        <f t="shared" si="6"/>
        <v>0</v>
      </c>
      <c r="G38" s="26"/>
      <c r="H38" s="26"/>
    </row>
    <row r="39" spans="1:8" x14ac:dyDescent="0.25">
      <c r="A39" s="20"/>
      <c r="B39" s="19" t="s">
        <v>100</v>
      </c>
      <c r="C39" s="20"/>
      <c r="D39" s="20"/>
      <c r="E39" s="26"/>
      <c r="F39" s="27">
        <f>SUM(F30:F38)</f>
        <v>2500</v>
      </c>
      <c r="G39" s="26"/>
      <c r="H39" s="26"/>
    </row>
    <row r="40" spans="1:8" x14ac:dyDescent="0.25">
      <c r="A40" s="9"/>
      <c r="B40" s="9"/>
      <c r="C40" s="9"/>
      <c r="D40" s="9"/>
      <c r="E40" s="10"/>
      <c r="F40" s="10"/>
      <c r="G40" s="10"/>
      <c r="H40" s="10"/>
    </row>
    <row r="41" spans="1:8" x14ac:dyDescent="0.25">
      <c r="A41" s="9"/>
      <c r="B41" s="45" t="s">
        <v>101</v>
      </c>
      <c r="C41" s="45"/>
      <c r="D41" s="45"/>
      <c r="E41" s="51"/>
      <c r="F41" s="53">
        <f>SUM(F39+F27)</f>
        <v>70750</v>
      </c>
      <c r="G41" s="53">
        <f>G27</f>
        <v>136500</v>
      </c>
      <c r="H41" s="52">
        <f>(G41-F41)/G41</f>
        <v>0.48168498168498169</v>
      </c>
    </row>
    <row r="42" spans="1:8" x14ac:dyDescent="0.25">
      <c r="A42" s="9"/>
      <c r="B42" s="9"/>
      <c r="C42" s="9"/>
      <c r="D42" s="9"/>
      <c r="E42" s="10"/>
      <c r="F42" s="10"/>
      <c r="G42" s="10"/>
      <c r="H42" s="10"/>
    </row>
    <row r="43" spans="1:8" x14ac:dyDescent="0.25">
      <c r="A43" s="9"/>
      <c r="B43" s="9"/>
      <c r="C43" s="9"/>
      <c r="D43" s="9"/>
      <c r="E43" s="10"/>
      <c r="F43" s="10"/>
      <c r="G43" s="10"/>
      <c r="H43" s="10"/>
    </row>
    <row r="44" spans="1:8" x14ac:dyDescent="0.25">
      <c r="A44" s="9"/>
      <c r="B44" s="9"/>
      <c r="C44" s="9"/>
      <c r="D44" s="9"/>
      <c r="E44" s="10"/>
      <c r="F44" s="10"/>
      <c r="G44" s="10"/>
      <c r="H44" s="10"/>
    </row>
    <row r="45" spans="1:8" x14ac:dyDescent="0.25">
      <c r="A45" s="9"/>
      <c r="B45" s="9"/>
      <c r="C45" s="9"/>
      <c r="D45" s="9"/>
      <c r="E45" s="10"/>
      <c r="F45" s="10"/>
      <c r="G45" s="10"/>
      <c r="H45" s="10"/>
    </row>
    <row r="46" spans="1:8" x14ac:dyDescent="0.25">
      <c r="A46" s="9"/>
      <c r="B46" s="9"/>
      <c r="C46" s="9"/>
      <c r="D46" s="9"/>
      <c r="E46" s="10"/>
      <c r="F46" s="10"/>
      <c r="G46" s="10"/>
      <c r="H46" s="10"/>
    </row>
    <row r="47" spans="1:8" x14ac:dyDescent="0.25">
      <c r="A47" s="9"/>
      <c r="B47" s="9"/>
      <c r="C47" s="9"/>
      <c r="D47" s="9"/>
      <c r="E47" s="10"/>
      <c r="F47" s="10"/>
      <c r="G47" s="10"/>
      <c r="H47" s="10"/>
    </row>
    <row r="48" spans="1:8" x14ac:dyDescent="0.25">
      <c r="A48" s="9"/>
      <c r="B48" s="9"/>
      <c r="C48" s="9"/>
      <c r="D48" s="9"/>
      <c r="E48" s="10"/>
      <c r="F48" s="10"/>
      <c r="G48" s="10"/>
      <c r="H48" s="10"/>
    </row>
    <row r="49" spans="1:8" x14ac:dyDescent="0.25">
      <c r="A49" s="9"/>
      <c r="B49" s="9"/>
      <c r="C49" s="9"/>
      <c r="D49" s="9"/>
      <c r="E49" s="10"/>
      <c r="F49" s="10"/>
      <c r="G49" s="10"/>
      <c r="H49" s="10"/>
    </row>
    <row r="50" spans="1:8" x14ac:dyDescent="0.25">
      <c r="A50" s="9"/>
      <c r="B50" s="9"/>
      <c r="C50" s="9"/>
      <c r="D50" s="9"/>
      <c r="E50" s="10"/>
      <c r="F50" s="10"/>
      <c r="G50" s="10"/>
      <c r="H50" s="10"/>
    </row>
    <row r="51" spans="1:8" x14ac:dyDescent="0.25">
      <c r="A51" s="9"/>
      <c r="B51" s="9"/>
      <c r="C51" s="9"/>
      <c r="D51" s="9"/>
      <c r="E51" s="10"/>
      <c r="F51" s="10"/>
      <c r="G51" s="10"/>
      <c r="H51" s="10"/>
    </row>
    <row r="52" spans="1:8" x14ac:dyDescent="0.25">
      <c r="A52" s="9"/>
      <c r="B52" s="9"/>
      <c r="C52" s="9"/>
      <c r="D52" s="9"/>
      <c r="E52" s="10"/>
      <c r="F52" s="10"/>
      <c r="G52" s="10"/>
      <c r="H52" s="10"/>
    </row>
    <row r="53" spans="1:8" x14ac:dyDescent="0.25">
      <c r="A53" s="9"/>
      <c r="B53" s="9"/>
      <c r="C53" s="9"/>
      <c r="D53" s="9"/>
      <c r="E53" s="10"/>
      <c r="F53" s="10"/>
      <c r="G53" s="10"/>
      <c r="H53" s="10"/>
    </row>
    <row r="54" spans="1:8" x14ac:dyDescent="0.25">
      <c r="A54" s="9"/>
      <c r="B54" s="9"/>
      <c r="C54" s="9"/>
      <c r="D54" s="9"/>
      <c r="E54" s="10"/>
      <c r="F54" s="10"/>
      <c r="G54" s="10"/>
      <c r="H54" s="10"/>
    </row>
    <row r="55" spans="1:8" x14ac:dyDescent="0.25">
      <c r="A55" s="9"/>
      <c r="B55" s="9"/>
      <c r="C55" s="9"/>
      <c r="D55" s="9"/>
      <c r="E55" s="10"/>
      <c r="F55" s="10"/>
      <c r="G55" s="10"/>
      <c r="H55" s="10"/>
    </row>
    <row r="56" spans="1:8" x14ac:dyDescent="0.25">
      <c r="A56" s="9"/>
      <c r="B56" s="9"/>
      <c r="C56" s="9"/>
      <c r="D56" s="9"/>
      <c r="E56" s="10"/>
      <c r="F56" s="10"/>
      <c r="G56" s="10"/>
      <c r="H56" s="10"/>
    </row>
    <row r="57" spans="1:8" x14ac:dyDescent="0.25">
      <c r="A57" s="9"/>
      <c r="B57" s="9"/>
      <c r="C57" s="9"/>
      <c r="D57" s="9"/>
      <c r="E57" s="10"/>
      <c r="F57" s="10"/>
      <c r="G57" s="10"/>
      <c r="H57" s="10"/>
    </row>
    <row r="58" spans="1:8" x14ac:dyDescent="0.25">
      <c r="A58" s="9"/>
      <c r="B58" s="9"/>
      <c r="C58" s="9"/>
      <c r="D58" s="9"/>
      <c r="E58" s="10"/>
      <c r="F58" s="10"/>
      <c r="G58" s="10"/>
      <c r="H58" s="10"/>
    </row>
    <row r="59" spans="1:8" x14ac:dyDescent="0.25">
      <c r="A59" s="9"/>
      <c r="B59" s="9"/>
      <c r="C59" s="9"/>
      <c r="D59" s="9"/>
      <c r="E59" s="10"/>
      <c r="F59" s="10"/>
      <c r="G59" s="10"/>
      <c r="H59" s="10"/>
    </row>
    <row r="60" spans="1:8" x14ac:dyDescent="0.25">
      <c r="A60" s="9"/>
      <c r="B60" s="9"/>
      <c r="C60" s="9"/>
      <c r="D60" s="9"/>
      <c r="E60" s="10"/>
      <c r="F60" s="10"/>
      <c r="G60" s="10"/>
      <c r="H60" s="10"/>
    </row>
    <row r="61" spans="1:8" x14ac:dyDescent="0.25">
      <c r="A61" s="9"/>
      <c r="B61" s="9"/>
      <c r="C61" s="9"/>
      <c r="D61" s="9"/>
      <c r="E61" s="10"/>
      <c r="F61" s="10"/>
      <c r="G61" s="10"/>
      <c r="H61" s="10"/>
    </row>
    <row r="62" spans="1:8" x14ac:dyDescent="0.25">
      <c r="A62" s="9"/>
      <c r="B62" s="9"/>
      <c r="C62" s="9"/>
      <c r="D62" s="9"/>
      <c r="E62" s="10"/>
      <c r="F62" s="10"/>
      <c r="G62" s="10"/>
      <c r="H62" s="10"/>
    </row>
    <row r="63" spans="1:8" x14ac:dyDescent="0.25">
      <c r="A63" s="9"/>
      <c r="B63" s="9"/>
      <c r="C63" s="9"/>
      <c r="D63" s="9"/>
      <c r="E63" s="10"/>
      <c r="F63" s="10"/>
      <c r="G63" s="10"/>
      <c r="H63" s="10"/>
    </row>
    <row r="64" spans="1:8" x14ac:dyDescent="0.25">
      <c r="A64" s="9"/>
      <c r="B64" s="9"/>
      <c r="C64" s="9"/>
      <c r="D64" s="9"/>
      <c r="E64" s="10"/>
      <c r="F64" s="10"/>
      <c r="G64" s="10"/>
      <c r="H64" s="10"/>
    </row>
    <row r="65" spans="1:8" x14ac:dyDescent="0.25">
      <c r="A65" s="9"/>
      <c r="B65" s="9"/>
      <c r="C65" s="9"/>
      <c r="D65" s="9"/>
      <c r="E65" s="10"/>
      <c r="F65" s="10"/>
      <c r="G65" s="10"/>
      <c r="H65" s="10"/>
    </row>
    <row r="66" spans="1:8" x14ac:dyDescent="0.25">
      <c r="A66" s="11"/>
      <c r="B66" s="11"/>
      <c r="C66" s="11"/>
      <c r="D66" s="11"/>
      <c r="E66" s="12"/>
      <c r="F66" s="12"/>
      <c r="G66" s="12"/>
      <c r="H66" s="12"/>
    </row>
    <row r="67" spans="1:8" x14ac:dyDescent="0.25">
      <c r="A67" s="11"/>
      <c r="B67" s="11"/>
      <c r="C67" s="11"/>
      <c r="D67" s="11"/>
      <c r="E67" s="11"/>
      <c r="F67" s="11"/>
      <c r="G67" s="11"/>
      <c r="H67" s="11"/>
    </row>
    <row r="68" spans="1:8" x14ac:dyDescent="0.25">
      <c r="A68" s="11"/>
      <c r="B68" s="11"/>
      <c r="C68" s="11"/>
      <c r="D68" s="11"/>
      <c r="E68" s="11"/>
      <c r="F68" s="11"/>
      <c r="G68" s="11"/>
      <c r="H68" s="11"/>
    </row>
    <row r="69" spans="1:8" x14ac:dyDescent="0.25">
      <c r="A69" s="11"/>
      <c r="B69" s="11"/>
      <c r="C69" s="11"/>
      <c r="D69" s="11"/>
      <c r="E69" s="11"/>
      <c r="F69" s="11"/>
      <c r="G69" s="11"/>
      <c r="H69" s="11"/>
    </row>
    <row r="70" spans="1:8" x14ac:dyDescent="0.25">
      <c r="A70" s="11"/>
      <c r="B70" s="11"/>
      <c r="C70" s="11"/>
      <c r="D70" s="11"/>
      <c r="E70" s="11"/>
      <c r="F70" s="11"/>
      <c r="G70" s="11"/>
      <c r="H70" s="11"/>
    </row>
    <row r="71" spans="1:8" x14ac:dyDescent="0.25">
      <c r="A71" s="11"/>
      <c r="B71" s="11"/>
      <c r="C71" s="11"/>
      <c r="D71" s="11"/>
      <c r="E71" s="11"/>
      <c r="F71" s="11"/>
      <c r="G71" s="11"/>
      <c r="H71" s="11"/>
    </row>
    <row r="72" spans="1:8" x14ac:dyDescent="0.25">
      <c r="A72" s="11"/>
      <c r="B72" s="11"/>
      <c r="C72" s="11"/>
      <c r="D72" s="11"/>
      <c r="E72" s="11"/>
      <c r="F72" s="11"/>
      <c r="G72" s="11"/>
      <c r="H72" s="11"/>
    </row>
    <row r="73" spans="1:8" x14ac:dyDescent="0.25">
      <c r="A73" s="11"/>
      <c r="B73" s="11"/>
      <c r="C73" s="11"/>
      <c r="D73" s="11"/>
      <c r="E73" s="11"/>
      <c r="F73" s="11"/>
      <c r="G73" s="11"/>
      <c r="H73" s="11"/>
    </row>
    <row r="74" spans="1:8" x14ac:dyDescent="0.25">
      <c r="A74" s="11"/>
      <c r="B74" s="11"/>
      <c r="C74" s="11"/>
      <c r="D74" s="11"/>
      <c r="E74" s="11"/>
      <c r="F74" s="11"/>
      <c r="G74" s="11"/>
      <c r="H74" s="11"/>
    </row>
    <row r="75" spans="1:8" x14ac:dyDescent="0.25">
      <c r="A75" s="11"/>
      <c r="B75" s="11"/>
      <c r="C75" s="11"/>
      <c r="D75" s="11"/>
      <c r="E75" s="11"/>
      <c r="F75" s="11"/>
      <c r="G75" s="11"/>
      <c r="H75" s="11"/>
    </row>
    <row r="76" spans="1:8" x14ac:dyDescent="0.25">
      <c r="A76" s="11"/>
      <c r="B76" s="11"/>
      <c r="C76" s="11"/>
      <c r="D76" s="11"/>
      <c r="E76" s="11"/>
      <c r="F76" s="11"/>
      <c r="G76" s="11"/>
      <c r="H76" s="11"/>
    </row>
    <row r="77" spans="1:8" x14ac:dyDescent="0.25">
      <c r="A77" s="11"/>
      <c r="B77" s="11"/>
      <c r="C77" s="11"/>
      <c r="D77" s="11"/>
      <c r="E77" s="11"/>
      <c r="F77" s="11"/>
      <c r="G77" s="11"/>
      <c r="H77" s="11"/>
    </row>
    <row r="78" spans="1:8" x14ac:dyDescent="0.25">
      <c r="A78" s="11"/>
      <c r="B78" s="11"/>
      <c r="C78" s="11"/>
      <c r="D78" s="11"/>
      <c r="E78" s="11"/>
      <c r="F78" s="11"/>
      <c r="G78" s="11"/>
      <c r="H78" s="11"/>
    </row>
    <row r="79" spans="1:8" x14ac:dyDescent="0.25">
      <c r="A79" s="11"/>
      <c r="B79" s="11"/>
      <c r="C79" s="11"/>
      <c r="D79" s="11"/>
      <c r="E79" s="11"/>
      <c r="F79" s="11"/>
      <c r="G79" s="11"/>
      <c r="H79" s="11"/>
    </row>
    <row r="80" spans="1:8" x14ac:dyDescent="0.25">
      <c r="A80" s="11"/>
      <c r="B80" s="11"/>
      <c r="C80" s="11"/>
      <c r="D80" s="11"/>
      <c r="E80" s="11"/>
      <c r="F80" s="11"/>
      <c r="G80" s="11"/>
      <c r="H80" s="11"/>
    </row>
    <row r="81" spans="1:8" x14ac:dyDescent="0.25">
      <c r="A81" s="11"/>
      <c r="B81" s="11"/>
      <c r="C81" s="11"/>
      <c r="D81" s="11"/>
      <c r="E81" s="11"/>
      <c r="F81" s="11"/>
      <c r="G81" s="11"/>
      <c r="H81" s="11"/>
    </row>
    <row r="82" spans="1:8" x14ac:dyDescent="0.25">
      <c r="A82" s="11"/>
      <c r="B82" s="11"/>
      <c r="C82" s="11"/>
      <c r="D82" s="11"/>
      <c r="E82" s="11"/>
      <c r="F82" s="11"/>
      <c r="G82" s="11"/>
      <c r="H82" s="11"/>
    </row>
    <row r="83" spans="1:8" x14ac:dyDescent="0.25">
      <c r="A83" s="11"/>
      <c r="B83" s="11"/>
      <c r="C83" s="11"/>
      <c r="D83" s="11"/>
      <c r="E83" s="11"/>
      <c r="F83" s="11"/>
      <c r="G83" s="11"/>
      <c r="H83" s="11"/>
    </row>
    <row r="84" spans="1:8" x14ac:dyDescent="0.25">
      <c r="A84" s="11"/>
      <c r="B84" s="11"/>
      <c r="C84" s="11"/>
      <c r="D84" s="11"/>
      <c r="E84" s="11"/>
      <c r="F84" s="11"/>
      <c r="G84" s="11"/>
      <c r="H84" s="11"/>
    </row>
    <row r="85" spans="1:8" x14ac:dyDescent="0.25">
      <c r="A85" s="11"/>
      <c r="B85" s="11"/>
      <c r="C85" s="11"/>
      <c r="D85" s="11"/>
      <c r="E85" s="11"/>
      <c r="F85" s="11"/>
      <c r="G85" s="11"/>
      <c r="H85" s="11"/>
    </row>
    <row r="86" spans="1:8" x14ac:dyDescent="0.25">
      <c r="A86" s="11"/>
      <c r="B86" s="11"/>
      <c r="C86" s="11"/>
      <c r="D86" s="11"/>
      <c r="E86" s="11"/>
      <c r="F86" s="11"/>
      <c r="G86" s="11"/>
      <c r="H86" s="11"/>
    </row>
    <row r="87" spans="1:8" x14ac:dyDescent="0.25">
      <c r="A87" s="11"/>
      <c r="B87" s="11"/>
      <c r="C87" s="11"/>
      <c r="D87" s="11"/>
      <c r="E87" s="11"/>
      <c r="F87" s="11"/>
      <c r="G87" s="11"/>
      <c r="H87" s="11"/>
    </row>
    <row r="88" spans="1:8" x14ac:dyDescent="0.25">
      <c r="A88" s="11"/>
      <c r="B88" s="11"/>
      <c r="C88" s="11"/>
      <c r="D88" s="11"/>
      <c r="E88" s="11"/>
      <c r="F88" s="11"/>
      <c r="G88" s="11"/>
      <c r="H88" s="11"/>
    </row>
    <row r="89" spans="1:8" x14ac:dyDescent="0.25">
      <c r="A89" s="11"/>
      <c r="B89" s="11"/>
      <c r="C89" s="11"/>
      <c r="D89" s="11"/>
      <c r="E89" s="11"/>
      <c r="F89" s="11"/>
      <c r="G89" s="11"/>
      <c r="H89" s="11"/>
    </row>
    <row r="90" spans="1:8" x14ac:dyDescent="0.25">
      <c r="A90" s="11"/>
      <c r="B90" s="11"/>
      <c r="C90" s="11"/>
      <c r="D90" s="11"/>
      <c r="E90" s="11"/>
      <c r="F90" s="11"/>
      <c r="G90" s="11"/>
      <c r="H90" s="11"/>
    </row>
    <row r="91" spans="1:8" x14ac:dyDescent="0.25">
      <c r="A91" s="11"/>
      <c r="B91" s="11"/>
      <c r="C91" s="11"/>
      <c r="D91" s="11"/>
      <c r="E91" s="11"/>
      <c r="F91" s="11"/>
      <c r="G91" s="11"/>
      <c r="H91" s="11"/>
    </row>
    <row r="92" spans="1:8" x14ac:dyDescent="0.25">
      <c r="A92" s="11"/>
      <c r="B92" s="11"/>
      <c r="C92" s="11"/>
      <c r="D92" s="11"/>
      <c r="E92" s="11"/>
      <c r="F92" s="11"/>
      <c r="G92" s="11"/>
      <c r="H92" s="11"/>
    </row>
    <row r="93" spans="1:8" x14ac:dyDescent="0.25">
      <c r="A93" s="11"/>
      <c r="B93" s="11"/>
      <c r="C93" s="11"/>
      <c r="D93" s="11"/>
      <c r="E93" s="11"/>
      <c r="F93" s="11"/>
      <c r="G93" s="11"/>
      <c r="H93" s="11"/>
    </row>
    <row r="94" spans="1:8" x14ac:dyDescent="0.25">
      <c r="A94" s="11"/>
      <c r="B94" s="11"/>
      <c r="C94" s="11"/>
      <c r="D94" s="11"/>
      <c r="E94" s="11"/>
      <c r="F94" s="11"/>
      <c r="G94" s="11"/>
      <c r="H94" s="11"/>
    </row>
    <row r="95" spans="1:8" x14ac:dyDescent="0.25">
      <c r="A95" s="11"/>
      <c r="B95" s="11"/>
      <c r="C95" s="11"/>
      <c r="D95" s="11"/>
      <c r="E95" s="11"/>
      <c r="F95" s="11"/>
      <c r="G95" s="11"/>
      <c r="H95" s="11"/>
    </row>
    <row r="96" spans="1:8" x14ac:dyDescent="0.25">
      <c r="A96" s="11"/>
      <c r="B96" s="11"/>
      <c r="C96" s="11"/>
      <c r="D96" s="11"/>
      <c r="E96" s="11"/>
      <c r="F96" s="11"/>
      <c r="G96" s="11"/>
      <c r="H96" s="11"/>
    </row>
    <row r="97" spans="1:8" x14ac:dyDescent="0.25">
      <c r="A97" s="11"/>
      <c r="B97" s="11"/>
      <c r="C97" s="11"/>
      <c r="D97" s="11"/>
      <c r="E97" s="11"/>
      <c r="F97" s="11"/>
      <c r="G97" s="11"/>
      <c r="H97" s="11"/>
    </row>
    <row r="98" spans="1:8" x14ac:dyDescent="0.25">
      <c r="A98" s="11"/>
      <c r="B98" s="11"/>
      <c r="C98" s="11"/>
      <c r="D98" s="11"/>
      <c r="E98" s="11"/>
      <c r="F98" s="11"/>
      <c r="G98" s="11"/>
      <c r="H98" s="11"/>
    </row>
    <row r="99" spans="1:8" x14ac:dyDescent="0.25">
      <c r="A99" s="11"/>
      <c r="B99" s="11"/>
      <c r="C99" s="11"/>
      <c r="D99" s="11"/>
      <c r="E99" s="11"/>
      <c r="F99" s="11"/>
      <c r="G99" s="11"/>
      <c r="H99" s="11"/>
    </row>
    <row r="100" spans="1:8" x14ac:dyDescent="0.25">
      <c r="A100" s="11"/>
      <c r="B100" s="11"/>
      <c r="C100" s="11"/>
      <c r="D100" s="11"/>
      <c r="E100" s="11"/>
      <c r="F100" s="11"/>
      <c r="G100" s="11"/>
      <c r="H100" s="11"/>
    </row>
    <row r="101" spans="1:8" x14ac:dyDescent="0.25">
      <c r="A101" s="11"/>
      <c r="B101" s="11"/>
      <c r="C101" s="11"/>
      <c r="D101" s="11"/>
      <c r="E101" s="11"/>
      <c r="F101" s="11"/>
      <c r="G101" s="11"/>
      <c r="H101" s="11"/>
    </row>
    <row r="102" spans="1:8" x14ac:dyDescent="0.25">
      <c r="A102" s="11"/>
      <c r="B102" s="11"/>
      <c r="C102" s="11"/>
      <c r="D102" s="11"/>
      <c r="E102" s="11"/>
      <c r="F102" s="11"/>
      <c r="G102" s="11"/>
      <c r="H102" s="11"/>
    </row>
    <row r="103" spans="1:8" x14ac:dyDescent="0.25">
      <c r="A103" s="11"/>
      <c r="B103" s="11"/>
      <c r="C103" s="11"/>
      <c r="D103" s="11"/>
      <c r="E103" s="11"/>
      <c r="F103" s="11"/>
      <c r="G103" s="11"/>
      <c r="H103" s="11"/>
    </row>
    <row r="104" spans="1:8" x14ac:dyDescent="0.25">
      <c r="A104" s="11"/>
      <c r="B104" s="11"/>
      <c r="C104" s="11"/>
      <c r="D104" s="11"/>
      <c r="E104" s="11"/>
      <c r="F104" s="11"/>
      <c r="G104" s="11"/>
      <c r="H104" s="11"/>
    </row>
    <row r="105" spans="1:8" x14ac:dyDescent="0.25">
      <c r="A105" s="11"/>
      <c r="B105" s="11"/>
      <c r="C105" s="11"/>
      <c r="D105" s="11"/>
      <c r="E105" s="11"/>
      <c r="F105" s="11"/>
      <c r="G105" s="11"/>
      <c r="H105" s="11"/>
    </row>
    <row r="106" spans="1:8" x14ac:dyDescent="0.25">
      <c r="A106" s="11"/>
      <c r="B106" s="11"/>
      <c r="C106" s="11"/>
      <c r="D106" s="11"/>
      <c r="E106" s="11"/>
      <c r="F106" s="11"/>
      <c r="G106" s="11"/>
      <c r="H106" s="11"/>
    </row>
    <row r="107" spans="1:8" x14ac:dyDescent="0.25">
      <c r="A107" s="11"/>
      <c r="B107" s="11"/>
      <c r="C107" s="11"/>
      <c r="D107" s="11"/>
      <c r="E107" s="11"/>
      <c r="F107" s="11"/>
      <c r="G107" s="11"/>
      <c r="H107" s="11"/>
    </row>
    <row r="108" spans="1:8" x14ac:dyDescent="0.25">
      <c r="A108" s="11"/>
      <c r="B108" s="11"/>
      <c r="C108" s="11"/>
      <c r="D108" s="11"/>
      <c r="E108" s="11"/>
      <c r="F108" s="11"/>
      <c r="G108" s="11"/>
      <c r="H108" s="11"/>
    </row>
    <row r="109" spans="1:8" x14ac:dyDescent="0.25">
      <c r="A109" s="11"/>
      <c r="B109" s="11"/>
      <c r="C109" s="11"/>
      <c r="D109" s="11"/>
      <c r="E109" s="11"/>
      <c r="F109" s="11"/>
      <c r="G109" s="11"/>
      <c r="H109" s="11"/>
    </row>
    <row r="110" spans="1:8" x14ac:dyDescent="0.25">
      <c r="A110" s="11"/>
      <c r="B110" s="11"/>
      <c r="C110" s="11"/>
      <c r="D110" s="11"/>
      <c r="E110" s="11"/>
      <c r="F110" s="11"/>
      <c r="G110" s="11"/>
      <c r="H110" s="11"/>
    </row>
    <row r="111" spans="1:8" x14ac:dyDescent="0.25">
      <c r="A111" s="11"/>
      <c r="B111" s="11"/>
      <c r="C111" s="11"/>
      <c r="D111" s="11"/>
      <c r="E111" s="11"/>
      <c r="F111" s="11"/>
      <c r="G111" s="11"/>
      <c r="H111" s="11"/>
    </row>
    <row r="112" spans="1:8" x14ac:dyDescent="0.25">
      <c r="A112" s="11"/>
      <c r="B112" s="11"/>
      <c r="C112" s="11"/>
      <c r="D112" s="11"/>
      <c r="E112" s="11"/>
      <c r="F112" s="11"/>
      <c r="G112" s="11"/>
      <c r="H112" s="11"/>
    </row>
    <row r="113" spans="1:8" x14ac:dyDescent="0.25">
      <c r="A113" s="11"/>
      <c r="B113" s="11"/>
      <c r="C113" s="11"/>
      <c r="D113" s="11"/>
      <c r="E113" s="11"/>
      <c r="F113" s="11"/>
      <c r="G113" s="11"/>
      <c r="H113" s="11"/>
    </row>
    <row r="114" spans="1:8" x14ac:dyDescent="0.25">
      <c r="A114" s="11"/>
      <c r="B114" s="11"/>
      <c r="C114" s="11"/>
      <c r="D114" s="11"/>
      <c r="E114" s="11"/>
      <c r="F114" s="11"/>
      <c r="G114" s="11"/>
      <c r="H114" s="11"/>
    </row>
    <row r="115" spans="1:8" x14ac:dyDescent="0.25">
      <c r="A115" s="11"/>
      <c r="B115" s="11"/>
      <c r="C115" s="11"/>
      <c r="D115" s="11"/>
      <c r="E115" s="11"/>
      <c r="F115" s="11"/>
      <c r="G115" s="11"/>
      <c r="H115" s="11"/>
    </row>
    <row r="116" spans="1:8" x14ac:dyDescent="0.25">
      <c r="A116" s="11"/>
      <c r="B116" s="11"/>
      <c r="C116" s="11"/>
      <c r="D116" s="11"/>
      <c r="E116" s="11"/>
      <c r="F116" s="11"/>
      <c r="G116" s="11"/>
      <c r="H116" s="11"/>
    </row>
    <row r="117" spans="1:8" x14ac:dyDescent="0.25">
      <c r="A117" s="11"/>
      <c r="B117" s="11"/>
      <c r="C117" s="11"/>
      <c r="D117" s="11"/>
      <c r="E117" s="11"/>
      <c r="F117" s="11"/>
      <c r="G117" s="11"/>
      <c r="H117" s="11"/>
    </row>
    <row r="118" spans="1:8" x14ac:dyDescent="0.25">
      <c r="A118" s="11"/>
      <c r="B118" s="11"/>
      <c r="C118" s="11"/>
      <c r="D118" s="11"/>
      <c r="E118" s="11"/>
      <c r="F118" s="11"/>
      <c r="G118" s="11"/>
      <c r="H118" s="11"/>
    </row>
    <row r="119" spans="1:8" x14ac:dyDescent="0.25">
      <c r="A119" s="11"/>
      <c r="B119" s="11"/>
      <c r="C119" s="11"/>
      <c r="D119" s="11"/>
      <c r="E119" s="11"/>
      <c r="F119" s="11"/>
      <c r="G119" s="11"/>
      <c r="H119" s="11"/>
    </row>
    <row r="120" spans="1:8" x14ac:dyDescent="0.25">
      <c r="A120" s="11"/>
      <c r="B120" s="11"/>
      <c r="C120" s="11"/>
      <c r="D120" s="11"/>
      <c r="E120" s="11"/>
      <c r="F120" s="11"/>
      <c r="G120" s="11"/>
      <c r="H120" s="11"/>
    </row>
    <row r="121" spans="1:8" x14ac:dyDescent="0.25">
      <c r="A121" s="11"/>
      <c r="B121" s="11"/>
      <c r="C121" s="11"/>
      <c r="D121" s="11"/>
      <c r="E121" s="11"/>
      <c r="F121" s="11"/>
      <c r="G121" s="11"/>
      <c r="H121" s="11"/>
    </row>
    <row r="122" spans="1:8" x14ac:dyDescent="0.25">
      <c r="A122" s="11"/>
      <c r="B122" s="11"/>
      <c r="C122" s="11"/>
      <c r="D122" s="11"/>
      <c r="E122" s="11"/>
      <c r="F122" s="11"/>
      <c r="G122" s="11"/>
      <c r="H122" s="11"/>
    </row>
    <row r="123" spans="1:8" x14ac:dyDescent="0.25">
      <c r="A123" s="11"/>
      <c r="B123" s="11"/>
      <c r="C123" s="11"/>
      <c r="D123" s="11"/>
      <c r="E123" s="11"/>
      <c r="F123" s="11"/>
      <c r="G123" s="11"/>
      <c r="H123" s="11"/>
    </row>
    <row r="124" spans="1:8" x14ac:dyDescent="0.25">
      <c r="A124" s="11"/>
      <c r="B124" s="11"/>
      <c r="C124" s="11"/>
      <c r="D124" s="11"/>
      <c r="E124" s="11"/>
      <c r="F124" s="11"/>
      <c r="G124" s="11"/>
      <c r="H124" s="11"/>
    </row>
    <row r="125" spans="1:8" x14ac:dyDescent="0.25">
      <c r="A125" s="11"/>
      <c r="B125" s="11"/>
      <c r="C125" s="11"/>
      <c r="D125" s="11"/>
      <c r="E125" s="11"/>
      <c r="F125" s="11"/>
      <c r="G125" s="11"/>
      <c r="H125" s="11"/>
    </row>
    <row r="126" spans="1:8" x14ac:dyDescent="0.25">
      <c r="A126" s="11"/>
      <c r="B126" s="11"/>
      <c r="C126" s="11"/>
      <c r="D126" s="11"/>
      <c r="E126" s="11"/>
      <c r="F126" s="11"/>
      <c r="G126" s="11"/>
      <c r="H126" s="11"/>
    </row>
    <row r="127" spans="1:8" x14ac:dyDescent="0.25">
      <c r="A127" s="11"/>
      <c r="B127" s="11"/>
      <c r="C127" s="11"/>
      <c r="D127" s="11"/>
      <c r="E127" s="11"/>
      <c r="F127" s="11"/>
      <c r="G127" s="11"/>
      <c r="H127" s="11"/>
    </row>
    <row r="128" spans="1:8" x14ac:dyDescent="0.25">
      <c r="A128" s="11"/>
      <c r="B128" s="11"/>
      <c r="C128" s="11"/>
      <c r="D128" s="11"/>
      <c r="E128" s="11"/>
      <c r="F128" s="11"/>
      <c r="G128" s="11"/>
      <c r="H128" s="11"/>
    </row>
    <row r="129" spans="1:8" x14ac:dyDescent="0.25">
      <c r="A129" s="11"/>
      <c r="B129" s="11"/>
      <c r="C129" s="11"/>
      <c r="D129" s="11"/>
      <c r="E129" s="11"/>
      <c r="F129" s="11"/>
      <c r="G129" s="11"/>
      <c r="H129" s="11"/>
    </row>
    <row r="130" spans="1:8" x14ac:dyDescent="0.25">
      <c r="A130" s="11"/>
      <c r="B130" s="11"/>
      <c r="C130" s="11"/>
      <c r="D130" s="11"/>
      <c r="E130" s="11"/>
      <c r="F130" s="11"/>
      <c r="G130" s="11"/>
      <c r="H130" s="11"/>
    </row>
    <row r="131" spans="1:8" x14ac:dyDescent="0.25">
      <c r="A131" s="11"/>
      <c r="B131" s="11"/>
      <c r="C131" s="11"/>
      <c r="D131" s="11"/>
      <c r="E131" s="11"/>
      <c r="F131" s="11"/>
      <c r="G131" s="11"/>
      <c r="H131" s="11"/>
    </row>
    <row r="132" spans="1:8" x14ac:dyDescent="0.25">
      <c r="A132" s="11"/>
      <c r="B132" s="11"/>
      <c r="C132" s="11"/>
      <c r="D132" s="11"/>
      <c r="E132" s="11"/>
      <c r="F132" s="11"/>
      <c r="G132" s="11"/>
      <c r="H132" s="11"/>
    </row>
    <row r="133" spans="1:8" x14ac:dyDescent="0.25">
      <c r="A133" s="11"/>
      <c r="B133" s="11"/>
      <c r="C133" s="11"/>
      <c r="D133" s="11"/>
      <c r="E133" s="11"/>
      <c r="F133" s="11"/>
      <c r="G133" s="11"/>
      <c r="H133" s="11"/>
    </row>
    <row r="134" spans="1:8" x14ac:dyDescent="0.25">
      <c r="A134" s="11"/>
      <c r="B134" s="11"/>
      <c r="C134" s="11"/>
      <c r="D134" s="11"/>
      <c r="E134" s="11"/>
      <c r="F134" s="11"/>
      <c r="G134" s="11"/>
      <c r="H134" s="11"/>
    </row>
    <row r="135" spans="1:8" x14ac:dyDescent="0.25">
      <c r="A135" s="11"/>
      <c r="B135" s="11"/>
      <c r="C135" s="11"/>
      <c r="D135" s="11"/>
      <c r="E135" s="11"/>
      <c r="F135" s="11"/>
      <c r="G135" s="11"/>
      <c r="H135" s="11"/>
    </row>
    <row r="136" spans="1:8" x14ac:dyDescent="0.25">
      <c r="A136" s="11"/>
      <c r="B136" s="11"/>
      <c r="C136" s="11"/>
      <c r="D136" s="11"/>
      <c r="E136" s="11"/>
      <c r="F136" s="11"/>
      <c r="G136" s="11"/>
      <c r="H136" s="11"/>
    </row>
    <row r="137" spans="1:8" x14ac:dyDescent="0.25">
      <c r="A137" s="11"/>
      <c r="B137" s="11"/>
      <c r="C137" s="11"/>
      <c r="D137" s="11"/>
      <c r="E137" s="11"/>
      <c r="F137" s="11"/>
      <c r="G137" s="11"/>
      <c r="H137" s="11"/>
    </row>
    <row r="138" spans="1:8" x14ac:dyDescent="0.25">
      <c r="A138" s="11"/>
      <c r="B138" s="11"/>
      <c r="C138" s="11"/>
      <c r="D138" s="11"/>
      <c r="E138" s="11"/>
      <c r="F138" s="11"/>
      <c r="G138" s="11"/>
      <c r="H138" s="11"/>
    </row>
    <row r="139" spans="1:8" x14ac:dyDescent="0.25">
      <c r="A139" s="11"/>
      <c r="B139" s="11"/>
      <c r="C139" s="11"/>
      <c r="D139" s="11"/>
      <c r="E139" s="11"/>
      <c r="F139" s="11"/>
      <c r="G139" s="11"/>
      <c r="H139" s="11"/>
    </row>
    <row r="140" spans="1:8" x14ac:dyDescent="0.25">
      <c r="A140" s="11"/>
      <c r="B140" s="11"/>
      <c r="C140" s="11"/>
      <c r="D140" s="11"/>
      <c r="E140" s="11"/>
      <c r="F140" s="11"/>
      <c r="G140" s="11"/>
      <c r="H140" s="11"/>
    </row>
    <row r="141" spans="1:8" x14ac:dyDescent="0.25">
      <c r="A141" s="11"/>
      <c r="B141" s="11"/>
      <c r="C141" s="11"/>
      <c r="D141" s="11"/>
      <c r="E141" s="11"/>
      <c r="F141" s="11"/>
      <c r="G141" s="11"/>
      <c r="H141" s="11"/>
    </row>
    <row r="142" spans="1:8" x14ac:dyDescent="0.25">
      <c r="A142" s="11"/>
      <c r="B142" s="11"/>
      <c r="C142" s="11"/>
      <c r="D142" s="11"/>
      <c r="E142" s="11"/>
      <c r="F142" s="11"/>
      <c r="G142" s="11"/>
      <c r="H142" s="11"/>
    </row>
    <row r="143" spans="1:8" x14ac:dyDescent="0.25">
      <c r="A143" s="11"/>
      <c r="B143" s="11"/>
      <c r="C143" s="11"/>
      <c r="D143" s="11"/>
      <c r="E143" s="11"/>
      <c r="F143" s="11"/>
      <c r="G143" s="11"/>
      <c r="H143" s="11"/>
    </row>
    <row r="144" spans="1:8" x14ac:dyDescent="0.25">
      <c r="A144" s="11"/>
      <c r="B144" s="11"/>
      <c r="C144" s="11"/>
      <c r="D144" s="11"/>
      <c r="E144" s="11"/>
      <c r="F144" s="11"/>
      <c r="G144" s="11"/>
      <c r="H144" s="11"/>
    </row>
    <row r="145" spans="1:8" x14ac:dyDescent="0.25">
      <c r="A145" s="11"/>
      <c r="B145" s="11"/>
      <c r="C145" s="11"/>
      <c r="D145" s="11"/>
      <c r="E145" s="11"/>
      <c r="F145" s="11"/>
      <c r="G145" s="11"/>
      <c r="H145" s="11"/>
    </row>
    <row r="146" spans="1:8" x14ac:dyDescent="0.25">
      <c r="A146" s="11"/>
      <c r="B146" s="11"/>
      <c r="C146" s="11"/>
      <c r="D146" s="11"/>
      <c r="E146" s="11"/>
      <c r="F146" s="11"/>
      <c r="G146" s="11"/>
      <c r="H146" s="11"/>
    </row>
    <row r="147" spans="1:8" x14ac:dyDescent="0.25">
      <c r="A147" s="11"/>
      <c r="B147" s="11"/>
      <c r="C147" s="11"/>
      <c r="D147" s="11"/>
      <c r="E147" s="11"/>
      <c r="F147" s="11"/>
      <c r="G147" s="11"/>
      <c r="H147" s="11"/>
    </row>
    <row r="148" spans="1:8" x14ac:dyDescent="0.25">
      <c r="A148" s="11"/>
      <c r="B148" s="11"/>
      <c r="C148" s="11"/>
      <c r="D148" s="11"/>
      <c r="E148" s="11"/>
      <c r="F148" s="11"/>
      <c r="G148" s="11"/>
      <c r="H148" s="11"/>
    </row>
    <row r="149" spans="1:8" x14ac:dyDescent="0.25">
      <c r="A149" s="11"/>
      <c r="B149" s="11"/>
      <c r="C149" s="11"/>
      <c r="D149" s="11"/>
      <c r="E149" s="11"/>
      <c r="F149" s="11"/>
      <c r="G149" s="11"/>
      <c r="H149" s="11"/>
    </row>
    <row r="150" spans="1:8" x14ac:dyDescent="0.25">
      <c r="A150" s="11"/>
      <c r="B150" s="11"/>
      <c r="C150" s="11"/>
      <c r="D150" s="11"/>
      <c r="E150" s="11"/>
      <c r="F150" s="11"/>
      <c r="G150" s="11"/>
      <c r="H150" s="11"/>
    </row>
    <row r="151" spans="1:8" x14ac:dyDescent="0.25">
      <c r="A151" s="11"/>
      <c r="B151" s="11"/>
      <c r="C151" s="11"/>
      <c r="D151" s="11"/>
      <c r="E151" s="11"/>
      <c r="F151" s="11"/>
      <c r="G151" s="11"/>
      <c r="H151" s="11"/>
    </row>
    <row r="152" spans="1:8" x14ac:dyDescent="0.25">
      <c r="A152" s="11"/>
      <c r="B152" s="11"/>
      <c r="C152" s="11"/>
      <c r="D152" s="11"/>
      <c r="E152" s="11"/>
      <c r="F152" s="11"/>
      <c r="G152" s="11"/>
      <c r="H152" s="11"/>
    </row>
    <row r="153" spans="1:8" x14ac:dyDescent="0.25">
      <c r="A153" s="11"/>
      <c r="B153" s="11"/>
      <c r="C153" s="11"/>
      <c r="D153" s="11"/>
      <c r="E153" s="11"/>
      <c r="F153" s="11"/>
      <c r="G153" s="11"/>
      <c r="H153" s="11"/>
    </row>
    <row r="154" spans="1:8" x14ac:dyDescent="0.25">
      <c r="A154" s="11"/>
      <c r="B154" s="11"/>
      <c r="C154" s="11"/>
      <c r="D154" s="11"/>
      <c r="E154" s="11"/>
      <c r="F154" s="11"/>
      <c r="G154" s="11"/>
      <c r="H154" s="11"/>
    </row>
    <row r="155" spans="1:8" x14ac:dyDescent="0.25">
      <c r="A155" s="11"/>
      <c r="B155" s="11"/>
      <c r="C155" s="11"/>
      <c r="D155" s="11"/>
      <c r="E155" s="11"/>
      <c r="F155" s="11"/>
      <c r="G155" s="11"/>
      <c r="H155" s="11"/>
    </row>
    <row r="156" spans="1:8" x14ac:dyDescent="0.25">
      <c r="A156" s="11"/>
      <c r="B156" s="11"/>
      <c r="C156" s="11"/>
      <c r="D156" s="11"/>
      <c r="E156" s="11"/>
      <c r="F156" s="11"/>
      <c r="G156" s="11"/>
      <c r="H156" s="11"/>
    </row>
    <row r="157" spans="1:8" x14ac:dyDescent="0.25">
      <c r="A157" s="11"/>
      <c r="B157" s="11"/>
      <c r="C157" s="11"/>
      <c r="D157" s="11"/>
      <c r="E157" s="11"/>
      <c r="F157" s="11"/>
      <c r="G157" s="11"/>
      <c r="H157" s="11"/>
    </row>
    <row r="158" spans="1:8" x14ac:dyDescent="0.25">
      <c r="A158" s="11"/>
      <c r="B158" s="11"/>
      <c r="C158" s="11"/>
      <c r="D158" s="11"/>
      <c r="E158" s="11"/>
      <c r="F158" s="11"/>
      <c r="G158" s="11"/>
      <c r="H158" s="11"/>
    </row>
    <row r="159" spans="1:8" x14ac:dyDescent="0.25">
      <c r="A159" s="11"/>
      <c r="B159" s="11"/>
      <c r="C159" s="11"/>
      <c r="D159" s="11"/>
      <c r="E159" s="11"/>
      <c r="F159" s="11"/>
      <c r="G159" s="11"/>
      <c r="H159" s="11"/>
    </row>
    <row r="160" spans="1:8" x14ac:dyDescent="0.25">
      <c r="A160" s="11"/>
      <c r="B160" s="11"/>
      <c r="C160" s="11"/>
      <c r="D160" s="11"/>
      <c r="E160" s="11"/>
      <c r="F160" s="11"/>
      <c r="G160" s="11"/>
      <c r="H160" s="11"/>
    </row>
    <row r="161" spans="1:8" x14ac:dyDescent="0.25">
      <c r="A161" s="11"/>
      <c r="B161" s="11"/>
      <c r="C161" s="11"/>
      <c r="D161" s="11"/>
      <c r="E161" s="11"/>
      <c r="F161" s="11"/>
      <c r="G161" s="11"/>
      <c r="H161" s="11"/>
    </row>
    <row r="162" spans="1:8" x14ac:dyDescent="0.25">
      <c r="A162" s="11"/>
      <c r="B162" s="11"/>
      <c r="C162" s="11"/>
      <c r="D162" s="11"/>
      <c r="E162" s="11"/>
      <c r="F162" s="11"/>
      <c r="G162" s="11"/>
      <c r="H162" s="11"/>
    </row>
    <row r="163" spans="1:8" x14ac:dyDescent="0.25">
      <c r="A163" s="11"/>
      <c r="B163" s="11"/>
      <c r="C163" s="11"/>
      <c r="D163" s="11"/>
      <c r="E163" s="11"/>
      <c r="F163" s="11"/>
      <c r="G163" s="11"/>
      <c r="H163" s="11"/>
    </row>
    <row r="164" spans="1:8" x14ac:dyDescent="0.25">
      <c r="A164" s="11"/>
      <c r="B164" s="11"/>
      <c r="C164" s="11"/>
      <c r="D164" s="11"/>
      <c r="E164" s="11"/>
      <c r="F164" s="11"/>
      <c r="G164" s="11"/>
      <c r="H164" s="11"/>
    </row>
    <row r="165" spans="1:8" x14ac:dyDescent="0.25">
      <c r="A165" s="11"/>
      <c r="B165" s="11"/>
      <c r="C165" s="11"/>
      <c r="D165" s="11"/>
      <c r="E165" s="11"/>
      <c r="F165" s="11"/>
      <c r="G165" s="11"/>
      <c r="H165" s="11"/>
    </row>
    <row r="166" spans="1:8" x14ac:dyDescent="0.25">
      <c r="A166" s="11"/>
      <c r="B166" s="11"/>
      <c r="C166" s="11"/>
      <c r="D166" s="11"/>
      <c r="E166" s="11"/>
      <c r="F166" s="11"/>
      <c r="G166" s="11"/>
      <c r="H166" s="11"/>
    </row>
    <row r="167" spans="1:8" x14ac:dyDescent="0.25">
      <c r="A167" s="11"/>
      <c r="B167" s="11"/>
      <c r="C167" s="11"/>
      <c r="D167" s="11"/>
      <c r="E167" s="11"/>
      <c r="F167" s="11"/>
      <c r="G167" s="11"/>
      <c r="H167" s="11"/>
    </row>
    <row r="168" spans="1:8" x14ac:dyDescent="0.25">
      <c r="A168" s="11"/>
      <c r="B168" s="11"/>
      <c r="C168" s="11"/>
      <c r="D168" s="11"/>
      <c r="E168" s="11"/>
      <c r="F168" s="11"/>
      <c r="G168" s="11"/>
      <c r="H168" s="11"/>
    </row>
    <row r="169" spans="1:8" x14ac:dyDescent="0.25">
      <c r="A169" s="11"/>
      <c r="B169" s="11"/>
      <c r="C169" s="11"/>
      <c r="D169" s="11"/>
      <c r="E169" s="11"/>
      <c r="F169" s="11"/>
      <c r="G169" s="11"/>
      <c r="H169" s="11"/>
    </row>
    <row r="170" spans="1:8" x14ac:dyDescent="0.25">
      <c r="A170" s="11"/>
      <c r="B170" s="11"/>
      <c r="C170" s="11"/>
      <c r="D170" s="11"/>
      <c r="E170" s="11"/>
      <c r="F170" s="11"/>
      <c r="G170" s="11"/>
      <c r="H170" s="11"/>
    </row>
    <row r="171" spans="1:8" x14ac:dyDescent="0.25">
      <c r="A171" s="11"/>
      <c r="B171" s="11"/>
      <c r="C171" s="11"/>
      <c r="D171" s="11"/>
      <c r="E171" s="11"/>
      <c r="F171" s="11"/>
      <c r="G171" s="11"/>
      <c r="H171" s="11"/>
    </row>
    <row r="172" spans="1:8" x14ac:dyDescent="0.25">
      <c r="A172" s="11"/>
      <c r="B172" s="11"/>
      <c r="C172" s="11"/>
      <c r="D172" s="11"/>
      <c r="E172" s="11"/>
      <c r="F172" s="11"/>
      <c r="G172" s="11"/>
      <c r="H172" s="11"/>
    </row>
    <row r="173" spans="1:8" x14ac:dyDescent="0.25">
      <c r="A173" s="11"/>
      <c r="B173" s="11"/>
      <c r="C173" s="11"/>
      <c r="D173" s="11"/>
      <c r="E173" s="11"/>
      <c r="F173" s="11"/>
      <c r="G173" s="11"/>
      <c r="H173" s="11"/>
    </row>
    <row r="174" spans="1:8" x14ac:dyDescent="0.25">
      <c r="A174" s="11"/>
      <c r="B174" s="11"/>
      <c r="C174" s="11"/>
      <c r="D174" s="11"/>
      <c r="E174" s="11"/>
      <c r="F174" s="11"/>
      <c r="G174" s="11"/>
      <c r="H174" s="11"/>
    </row>
    <row r="175" spans="1:8" x14ac:dyDescent="0.25">
      <c r="A175" s="11"/>
      <c r="B175" s="11"/>
      <c r="C175" s="11"/>
      <c r="D175" s="11"/>
      <c r="E175" s="11"/>
      <c r="F175" s="11"/>
      <c r="G175" s="11"/>
      <c r="H175" s="11"/>
    </row>
    <row r="176" spans="1:8" x14ac:dyDescent="0.25">
      <c r="A176" s="11"/>
      <c r="B176" s="11"/>
      <c r="C176" s="11"/>
      <c r="D176" s="11"/>
      <c r="E176" s="11"/>
      <c r="F176" s="11"/>
      <c r="G176" s="11"/>
      <c r="H176" s="11"/>
    </row>
    <row r="177" spans="1:8" x14ac:dyDescent="0.25">
      <c r="A177" s="11"/>
      <c r="B177" s="11"/>
      <c r="C177" s="11"/>
      <c r="D177" s="11"/>
      <c r="E177" s="11"/>
      <c r="F177" s="11"/>
      <c r="G177" s="11"/>
      <c r="H177" s="11"/>
    </row>
    <row r="178" spans="1:8" x14ac:dyDescent="0.25">
      <c r="A178" s="11"/>
      <c r="B178" s="11"/>
      <c r="C178" s="11"/>
      <c r="D178" s="11"/>
      <c r="E178" s="11"/>
      <c r="F178" s="11"/>
      <c r="G178" s="11"/>
      <c r="H178" s="11"/>
    </row>
    <row r="179" spans="1:8" x14ac:dyDescent="0.25">
      <c r="A179" s="11"/>
      <c r="B179" s="11"/>
      <c r="C179" s="11"/>
      <c r="D179" s="11"/>
      <c r="E179" s="11"/>
      <c r="F179" s="11"/>
      <c r="G179" s="11"/>
      <c r="H179" s="11"/>
    </row>
    <row r="180" spans="1:8" x14ac:dyDescent="0.25">
      <c r="A180" s="11"/>
      <c r="B180" s="11"/>
      <c r="C180" s="11"/>
      <c r="D180" s="11"/>
      <c r="E180" s="11"/>
      <c r="F180" s="11"/>
      <c r="G180" s="11"/>
      <c r="H180" s="11"/>
    </row>
    <row r="181" spans="1:8" x14ac:dyDescent="0.25">
      <c r="A181" s="11"/>
      <c r="B181" s="11"/>
      <c r="C181" s="11"/>
      <c r="D181" s="11"/>
      <c r="E181" s="11"/>
      <c r="F181" s="11"/>
      <c r="G181" s="11"/>
      <c r="H181" s="11"/>
    </row>
    <row r="182" spans="1:8" x14ac:dyDescent="0.25">
      <c r="A182" s="11"/>
      <c r="B182" s="11"/>
      <c r="C182" s="11"/>
      <c r="D182" s="11"/>
      <c r="E182" s="11"/>
      <c r="F182" s="11"/>
      <c r="G182" s="11"/>
      <c r="H182" s="11"/>
    </row>
    <row r="183" spans="1:8" x14ac:dyDescent="0.25">
      <c r="A183" s="11"/>
      <c r="B183" s="11"/>
      <c r="C183" s="11"/>
      <c r="D183" s="11"/>
      <c r="E183" s="11"/>
      <c r="F183" s="11"/>
      <c r="G183" s="11"/>
      <c r="H183" s="11"/>
    </row>
    <row r="184" spans="1:8" x14ac:dyDescent="0.25">
      <c r="A184" s="11"/>
      <c r="B184" s="11"/>
      <c r="C184" s="11"/>
      <c r="D184" s="11"/>
      <c r="E184" s="11"/>
      <c r="F184" s="11"/>
      <c r="G184" s="11"/>
      <c r="H184" s="11"/>
    </row>
    <row r="185" spans="1:8" x14ac:dyDescent="0.25">
      <c r="A185" s="11"/>
      <c r="B185" s="11"/>
      <c r="C185" s="11"/>
      <c r="D185" s="11"/>
      <c r="E185" s="11"/>
      <c r="F185" s="11"/>
      <c r="G185" s="11"/>
      <c r="H185" s="11"/>
    </row>
    <row r="186" spans="1:8" x14ac:dyDescent="0.25">
      <c r="A186" s="11"/>
      <c r="B186" s="11"/>
      <c r="C186" s="11"/>
      <c r="D186" s="11"/>
      <c r="E186" s="11"/>
      <c r="F186" s="11"/>
      <c r="G186" s="11"/>
      <c r="H186" s="11"/>
    </row>
    <row r="187" spans="1:8" x14ac:dyDescent="0.25">
      <c r="A187" s="11"/>
      <c r="B187" s="11"/>
      <c r="C187" s="11"/>
      <c r="D187" s="11"/>
      <c r="E187" s="11"/>
      <c r="F187" s="11"/>
      <c r="G187" s="11"/>
      <c r="H187" s="11"/>
    </row>
    <row r="188" spans="1:8" x14ac:dyDescent="0.25">
      <c r="A188" s="11"/>
      <c r="B188" s="11"/>
      <c r="C188" s="11"/>
      <c r="D188" s="11"/>
      <c r="E188" s="11"/>
      <c r="F188" s="11"/>
      <c r="G188" s="11"/>
      <c r="H188" s="11"/>
    </row>
    <row r="189" spans="1:8" x14ac:dyDescent="0.25">
      <c r="A189" s="11"/>
      <c r="B189" s="11"/>
      <c r="C189" s="11"/>
      <c r="D189" s="11"/>
      <c r="E189" s="11"/>
      <c r="F189" s="11"/>
      <c r="G189" s="11"/>
      <c r="H189" s="11"/>
    </row>
    <row r="190" spans="1:8" x14ac:dyDescent="0.25">
      <c r="A190" s="11"/>
      <c r="B190" s="11"/>
      <c r="C190" s="11"/>
      <c r="D190" s="11"/>
      <c r="E190" s="11"/>
      <c r="F190" s="11"/>
      <c r="G190" s="11"/>
      <c r="H190" s="11"/>
    </row>
    <row r="191" spans="1:8" x14ac:dyDescent="0.25">
      <c r="A191" s="11"/>
      <c r="B191" s="11"/>
      <c r="C191" s="11"/>
      <c r="D191" s="11"/>
      <c r="E191" s="11"/>
      <c r="F191" s="11"/>
      <c r="G191" s="11"/>
      <c r="H191" s="11"/>
    </row>
    <row r="192" spans="1:8" x14ac:dyDescent="0.25">
      <c r="A192" s="11"/>
      <c r="B192" s="11"/>
      <c r="C192" s="11"/>
      <c r="D192" s="11"/>
      <c r="E192" s="11"/>
      <c r="F192" s="11"/>
      <c r="G192" s="11"/>
      <c r="H192" s="11"/>
    </row>
    <row r="193" spans="1:8" x14ac:dyDescent="0.25">
      <c r="A193" s="11"/>
      <c r="B193" s="11"/>
      <c r="C193" s="11"/>
      <c r="D193" s="11"/>
      <c r="E193" s="11"/>
      <c r="F193" s="11"/>
      <c r="G193" s="11"/>
      <c r="H193" s="11"/>
    </row>
    <row r="194" spans="1:8" x14ac:dyDescent="0.25">
      <c r="A194" s="11"/>
      <c r="B194" s="11"/>
      <c r="C194" s="11"/>
      <c r="D194" s="11"/>
      <c r="E194" s="11"/>
      <c r="F194" s="11"/>
      <c r="G194" s="11"/>
      <c r="H194" s="11"/>
    </row>
    <row r="195" spans="1:8" x14ac:dyDescent="0.25">
      <c r="A195" s="11"/>
      <c r="B195" s="11"/>
      <c r="C195" s="11"/>
      <c r="D195" s="11"/>
      <c r="E195" s="11"/>
      <c r="F195" s="11"/>
      <c r="G195" s="11"/>
      <c r="H195" s="11"/>
    </row>
    <row r="196" spans="1:8" x14ac:dyDescent="0.25">
      <c r="A196" s="11"/>
      <c r="B196" s="11"/>
      <c r="C196" s="11"/>
      <c r="D196" s="11"/>
      <c r="E196" s="11"/>
      <c r="F196" s="11"/>
      <c r="G196" s="11"/>
      <c r="H196" s="11"/>
    </row>
    <row r="197" spans="1:8" x14ac:dyDescent="0.25">
      <c r="A197" s="11"/>
      <c r="B197" s="11"/>
      <c r="C197" s="11"/>
      <c r="D197" s="11"/>
      <c r="E197" s="11"/>
      <c r="F197" s="11"/>
      <c r="G197" s="11"/>
      <c r="H197" s="11"/>
    </row>
    <row r="198" spans="1:8" x14ac:dyDescent="0.25">
      <c r="A198" s="11"/>
      <c r="B198" s="11"/>
      <c r="C198" s="11"/>
      <c r="D198" s="11"/>
      <c r="E198" s="11"/>
      <c r="F198" s="11"/>
      <c r="G198" s="11"/>
      <c r="H198" s="11"/>
    </row>
    <row r="199" spans="1:8" x14ac:dyDescent="0.25">
      <c r="A199" s="11"/>
      <c r="B199" s="11"/>
      <c r="C199" s="11"/>
      <c r="D199" s="11"/>
      <c r="E199" s="11"/>
      <c r="F199" s="11"/>
      <c r="G199" s="11"/>
      <c r="H199" s="11"/>
    </row>
    <row r="200" spans="1:8" x14ac:dyDescent="0.25">
      <c r="A200" s="11"/>
      <c r="B200" s="11"/>
      <c r="C200" s="11"/>
      <c r="D200" s="11"/>
      <c r="E200" s="11"/>
      <c r="F200" s="11"/>
      <c r="G200" s="11"/>
      <c r="H200" s="11"/>
    </row>
    <row r="201" spans="1:8" x14ac:dyDescent="0.25">
      <c r="A201" s="11"/>
      <c r="B201" s="11"/>
      <c r="C201" s="11"/>
      <c r="D201" s="11"/>
      <c r="E201" s="11"/>
      <c r="F201" s="11"/>
      <c r="G201" s="11"/>
      <c r="H201" s="11"/>
    </row>
    <row r="202" spans="1:8" x14ac:dyDescent="0.25">
      <c r="A202" s="11"/>
      <c r="B202" s="11"/>
      <c r="C202" s="11"/>
      <c r="D202" s="11"/>
      <c r="E202" s="11"/>
      <c r="F202" s="11"/>
      <c r="G202" s="11"/>
      <c r="H202" s="11"/>
    </row>
    <row r="203" spans="1:8" x14ac:dyDescent="0.25">
      <c r="A203" s="11"/>
      <c r="B203" s="11"/>
      <c r="C203" s="11"/>
      <c r="D203" s="11"/>
      <c r="E203" s="11"/>
      <c r="F203" s="11"/>
      <c r="G203" s="11"/>
      <c r="H203" s="11"/>
    </row>
    <row r="204" spans="1:8" x14ac:dyDescent="0.25">
      <c r="A204" s="11"/>
      <c r="B204" s="11"/>
      <c r="C204" s="11"/>
      <c r="D204" s="11"/>
      <c r="E204" s="11"/>
      <c r="F204" s="11"/>
      <c r="G204" s="11"/>
      <c r="H204" s="11"/>
    </row>
    <row r="205" spans="1:8" x14ac:dyDescent="0.25">
      <c r="A205" s="11"/>
      <c r="B205" s="11"/>
      <c r="C205" s="11"/>
      <c r="D205" s="11"/>
      <c r="E205" s="11"/>
      <c r="F205" s="11"/>
      <c r="G205" s="11"/>
      <c r="H205" s="11"/>
    </row>
    <row r="206" spans="1:8" x14ac:dyDescent="0.25">
      <c r="A206" s="11"/>
      <c r="B206" s="11"/>
      <c r="C206" s="11"/>
      <c r="D206" s="11"/>
      <c r="E206" s="11"/>
      <c r="F206" s="11"/>
      <c r="G206" s="11"/>
      <c r="H206" s="11"/>
    </row>
    <row r="207" spans="1:8" x14ac:dyDescent="0.25">
      <c r="A207" s="11"/>
      <c r="B207" s="11"/>
      <c r="C207" s="11"/>
      <c r="D207" s="11"/>
      <c r="E207" s="11"/>
      <c r="F207" s="11"/>
      <c r="G207" s="11"/>
      <c r="H207" s="11"/>
    </row>
    <row r="208" spans="1:8" x14ac:dyDescent="0.25">
      <c r="A208" s="11"/>
      <c r="B208" s="11"/>
      <c r="C208" s="11"/>
      <c r="D208" s="11"/>
      <c r="E208" s="11"/>
      <c r="F208" s="11"/>
      <c r="G208" s="11"/>
      <c r="H208" s="11"/>
    </row>
    <row r="209" spans="1:8" x14ac:dyDescent="0.25">
      <c r="A209" s="11"/>
      <c r="B209" s="11"/>
      <c r="C209" s="11"/>
      <c r="D209" s="11"/>
      <c r="E209" s="11"/>
      <c r="F209" s="11"/>
      <c r="G209" s="11"/>
      <c r="H209" s="11"/>
    </row>
    <row r="210" spans="1:8" x14ac:dyDescent="0.25">
      <c r="A210" s="11"/>
      <c r="B210" s="11"/>
      <c r="C210" s="11"/>
      <c r="D210" s="11"/>
      <c r="E210" s="11"/>
      <c r="F210" s="11"/>
      <c r="G210" s="11"/>
      <c r="H210" s="11"/>
    </row>
    <row r="211" spans="1:8" x14ac:dyDescent="0.25">
      <c r="A211" s="11"/>
      <c r="B211" s="11"/>
      <c r="C211" s="11"/>
      <c r="D211" s="11"/>
      <c r="E211" s="11"/>
      <c r="F211" s="11"/>
      <c r="G211" s="11"/>
      <c r="H211" s="11"/>
    </row>
    <row r="212" spans="1:8" x14ac:dyDescent="0.25">
      <c r="A212" s="11"/>
      <c r="B212" s="11"/>
      <c r="C212" s="11"/>
      <c r="D212" s="11"/>
      <c r="E212" s="11"/>
      <c r="F212" s="11"/>
      <c r="G212" s="11"/>
      <c r="H212" s="11"/>
    </row>
    <row r="213" spans="1:8" x14ac:dyDescent="0.25">
      <c r="A213" s="11"/>
      <c r="B213" s="11"/>
      <c r="C213" s="11"/>
      <c r="D213" s="11"/>
      <c r="E213" s="11"/>
      <c r="F213" s="11"/>
      <c r="G213" s="11"/>
      <c r="H213" s="11"/>
    </row>
    <row r="214" spans="1:8" x14ac:dyDescent="0.25">
      <c r="A214" s="11"/>
      <c r="B214" s="11"/>
      <c r="C214" s="11"/>
      <c r="D214" s="11"/>
      <c r="E214" s="11"/>
      <c r="F214" s="11"/>
      <c r="G214" s="11"/>
      <c r="H214" s="11"/>
    </row>
    <row r="215" spans="1:8" x14ac:dyDescent="0.25">
      <c r="A215" s="11"/>
      <c r="B215" s="11"/>
      <c r="C215" s="11"/>
      <c r="D215" s="11"/>
      <c r="E215" s="11"/>
      <c r="F215" s="11"/>
      <c r="G215" s="11"/>
      <c r="H215" s="11"/>
    </row>
    <row r="216" spans="1:8" x14ac:dyDescent="0.25">
      <c r="A216" s="11"/>
      <c r="B216" s="11"/>
      <c r="C216" s="11"/>
      <c r="D216" s="11"/>
      <c r="E216" s="11"/>
      <c r="F216" s="11"/>
      <c r="G216" s="11"/>
      <c r="H216" s="11"/>
    </row>
    <row r="217" spans="1:8" x14ac:dyDescent="0.25">
      <c r="A217" s="11"/>
      <c r="B217" s="11"/>
      <c r="C217" s="11"/>
      <c r="D217" s="11"/>
      <c r="E217" s="11"/>
      <c r="F217" s="11"/>
      <c r="G217" s="11"/>
      <c r="H217" s="11"/>
    </row>
    <row r="218" spans="1:8" x14ac:dyDescent="0.25">
      <c r="A218" s="11"/>
      <c r="B218" s="11"/>
      <c r="C218" s="11"/>
      <c r="D218" s="11"/>
      <c r="E218" s="11"/>
      <c r="F218" s="11"/>
      <c r="G218" s="11"/>
      <c r="H218" s="11"/>
    </row>
    <row r="219" spans="1:8" x14ac:dyDescent="0.25">
      <c r="A219" s="11"/>
      <c r="B219" s="11"/>
      <c r="C219" s="11"/>
      <c r="D219" s="11"/>
      <c r="E219" s="11"/>
      <c r="F219" s="11"/>
      <c r="G219" s="11"/>
      <c r="H219" s="11"/>
    </row>
    <row r="220" spans="1:8" x14ac:dyDescent="0.25">
      <c r="A220" s="11"/>
      <c r="B220" s="11"/>
      <c r="C220" s="11"/>
      <c r="D220" s="11"/>
      <c r="E220" s="11"/>
      <c r="F220" s="11"/>
      <c r="G220" s="11"/>
      <c r="H220" s="11"/>
    </row>
    <row r="221" spans="1:8" x14ac:dyDescent="0.25">
      <c r="A221" s="11"/>
      <c r="B221" s="11"/>
      <c r="C221" s="11"/>
      <c r="D221" s="11"/>
      <c r="E221" s="11"/>
      <c r="F221" s="11"/>
      <c r="G221" s="11"/>
      <c r="H221" s="11"/>
    </row>
    <row r="222" spans="1:8" x14ac:dyDescent="0.25">
      <c r="A222" s="11"/>
      <c r="B222" s="11"/>
      <c r="C222" s="11"/>
      <c r="D222" s="11"/>
      <c r="E222" s="11"/>
      <c r="F222" s="11"/>
      <c r="G222" s="11"/>
      <c r="H222" s="11"/>
    </row>
    <row r="223" spans="1:8" x14ac:dyDescent="0.25">
      <c r="A223" s="11"/>
      <c r="B223" s="11"/>
      <c r="C223" s="11"/>
      <c r="D223" s="11"/>
      <c r="E223" s="11"/>
      <c r="F223" s="11"/>
      <c r="G223" s="11"/>
      <c r="H223" s="11"/>
    </row>
    <row r="224" spans="1:8" x14ac:dyDescent="0.25">
      <c r="A224" s="11"/>
      <c r="B224" s="11"/>
      <c r="C224" s="11"/>
      <c r="D224" s="11"/>
      <c r="E224" s="11"/>
      <c r="F224" s="11"/>
      <c r="G224" s="11"/>
      <c r="H224" s="11"/>
    </row>
    <row r="225" spans="1:8" x14ac:dyDescent="0.25">
      <c r="A225" s="11"/>
      <c r="B225" s="11"/>
      <c r="C225" s="11"/>
      <c r="D225" s="11"/>
      <c r="E225" s="11"/>
      <c r="F225" s="11"/>
      <c r="G225" s="11"/>
      <c r="H225" s="11"/>
    </row>
    <row r="226" spans="1:8" x14ac:dyDescent="0.25">
      <c r="A226" s="11"/>
      <c r="B226" s="11"/>
      <c r="C226" s="11"/>
      <c r="D226" s="11"/>
      <c r="E226" s="11"/>
      <c r="F226" s="11"/>
      <c r="G226" s="11"/>
      <c r="H226" s="11"/>
    </row>
    <row r="227" spans="1:8" x14ac:dyDescent="0.25">
      <c r="A227" s="11"/>
      <c r="B227" s="11"/>
      <c r="C227" s="11"/>
      <c r="D227" s="11"/>
      <c r="E227" s="11"/>
      <c r="F227" s="11"/>
      <c r="G227" s="11"/>
      <c r="H227" s="11"/>
    </row>
    <row r="228" spans="1:8" x14ac:dyDescent="0.25">
      <c r="A228" s="11"/>
      <c r="B228" s="11"/>
      <c r="C228" s="11"/>
      <c r="D228" s="11"/>
      <c r="E228" s="11"/>
      <c r="F228" s="11"/>
      <c r="G228" s="11"/>
      <c r="H228" s="11"/>
    </row>
    <row r="229" spans="1:8" x14ac:dyDescent="0.25">
      <c r="A229" s="11"/>
      <c r="B229" s="11"/>
      <c r="C229" s="11"/>
      <c r="D229" s="11"/>
      <c r="E229" s="11"/>
      <c r="F229" s="11"/>
      <c r="G229" s="11"/>
      <c r="H229" s="11"/>
    </row>
    <row r="230" spans="1:8" x14ac:dyDescent="0.25">
      <c r="A230" s="11"/>
      <c r="B230" s="11"/>
      <c r="C230" s="11"/>
      <c r="D230" s="11"/>
      <c r="E230" s="11"/>
      <c r="F230" s="11"/>
      <c r="G230" s="11"/>
      <c r="H230" s="11"/>
    </row>
    <row r="231" spans="1:8" x14ac:dyDescent="0.25">
      <c r="A231" s="11"/>
      <c r="B231" s="11"/>
      <c r="C231" s="11"/>
      <c r="D231" s="11"/>
      <c r="E231" s="11"/>
      <c r="F231" s="11"/>
      <c r="G231" s="11"/>
      <c r="H231" s="11"/>
    </row>
    <row r="232" spans="1:8" x14ac:dyDescent="0.25">
      <c r="A232" s="11"/>
      <c r="B232" s="11"/>
      <c r="C232" s="11"/>
      <c r="D232" s="11"/>
      <c r="E232" s="11"/>
      <c r="F232" s="11"/>
      <c r="G232" s="11"/>
      <c r="H232" s="11"/>
    </row>
    <row r="233" spans="1:8" x14ac:dyDescent="0.25">
      <c r="A233" s="11"/>
      <c r="B233" s="11"/>
      <c r="C233" s="11"/>
      <c r="D233" s="11"/>
      <c r="E233" s="11"/>
      <c r="F233" s="11"/>
      <c r="G233" s="11"/>
      <c r="H233" s="11"/>
    </row>
    <row r="234" spans="1:8" x14ac:dyDescent="0.25">
      <c r="A234" s="11"/>
      <c r="B234" s="11"/>
      <c r="C234" s="11"/>
      <c r="D234" s="11"/>
      <c r="E234" s="11"/>
      <c r="F234" s="11"/>
      <c r="G234" s="11"/>
      <c r="H234" s="11"/>
    </row>
    <row r="235" spans="1:8" x14ac:dyDescent="0.25">
      <c r="A235" s="11"/>
      <c r="B235" s="11"/>
      <c r="C235" s="11"/>
      <c r="D235" s="11"/>
      <c r="E235" s="11"/>
      <c r="F235" s="11"/>
      <c r="G235" s="11"/>
      <c r="H235" s="11"/>
    </row>
    <row r="236" spans="1:8" x14ac:dyDescent="0.25">
      <c r="A236" s="11"/>
      <c r="B236" s="11"/>
      <c r="C236" s="11"/>
      <c r="D236" s="11"/>
      <c r="E236" s="11"/>
      <c r="F236" s="11"/>
      <c r="G236" s="11"/>
      <c r="H236" s="11"/>
    </row>
    <row r="237" spans="1:8" x14ac:dyDescent="0.25">
      <c r="A237" s="11"/>
      <c r="B237" s="11"/>
      <c r="C237" s="11"/>
      <c r="D237" s="11"/>
      <c r="E237" s="11"/>
      <c r="F237" s="11"/>
      <c r="G237" s="11"/>
      <c r="H237" s="11"/>
    </row>
    <row r="238" spans="1:8" x14ac:dyDescent="0.25">
      <c r="A238" s="11"/>
      <c r="B238" s="11"/>
      <c r="C238" s="11"/>
      <c r="D238" s="11"/>
      <c r="E238" s="11"/>
      <c r="F238" s="11"/>
      <c r="G238" s="11"/>
      <c r="H238" s="11"/>
    </row>
    <row r="239" spans="1:8" x14ac:dyDescent="0.25">
      <c r="A239" s="11"/>
      <c r="B239" s="11"/>
      <c r="C239" s="11"/>
      <c r="D239" s="11"/>
      <c r="E239" s="11"/>
      <c r="F239" s="11"/>
      <c r="G239" s="11"/>
      <c r="H239" s="11"/>
    </row>
    <row r="240" spans="1:8" x14ac:dyDescent="0.25">
      <c r="A240" s="11"/>
      <c r="B240" s="11"/>
      <c r="C240" s="11"/>
      <c r="D240" s="11"/>
      <c r="E240" s="11"/>
      <c r="F240" s="11"/>
      <c r="G240" s="11"/>
      <c r="H240" s="11"/>
    </row>
    <row r="241" spans="1:8" x14ac:dyDescent="0.25">
      <c r="A241" s="11"/>
      <c r="B241" s="11"/>
      <c r="C241" s="11"/>
      <c r="D241" s="11"/>
      <c r="E241" s="11"/>
      <c r="F241" s="11"/>
      <c r="G241" s="11"/>
      <c r="H241" s="11"/>
    </row>
    <row r="242" spans="1:8" x14ac:dyDescent="0.25">
      <c r="A242" s="11"/>
      <c r="B242" s="11"/>
      <c r="C242" s="11"/>
      <c r="D242" s="11"/>
      <c r="E242" s="11"/>
      <c r="F242" s="11"/>
      <c r="G242" s="11"/>
      <c r="H242" s="11"/>
    </row>
    <row r="243" spans="1:8" x14ac:dyDescent="0.25">
      <c r="A243" s="11"/>
      <c r="B243" s="11"/>
      <c r="C243" s="11"/>
      <c r="D243" s="11"/>
      <c r="E243" s="11"/>
      <c r="F243" s="11"/>
      <c r="G243" s="11"/>
      <c r="H243" s="11"/>
    </row>
    <row r="244" spans="1:8" x14ac:dyDescent="0.25">
      <c r="A244" s="11"/>
      <c r="B244" s="11"/>
      <c r="C244" s="11"/>
      <c r="D244" s="11"/>
      <c r="E244" s="11"/>
      <c r="F244" s="11"/>
      <c r="G244" s="11"/>
      <c r="H244" s="11"/>
    </row>
    <row r="245" spans="1:8" x14ac:dyDescent="0.25">
      <c r="A245" s="11"/>
      <c r="B245" s="11"/>
      <c r="C245" s="11"/>
      <c r="D245" s="11"/>
      <c r="E245" s="11"/>
      <c r="F245" s="11"/>
      <c r="G245" s="11"/>
      <c r="H245" s="11"/>
    </row>
    <row r="246" spans="1:8" x14ac:dyDescent="0.25">
      <c r="A246" s="11"/>
      <c r="B246" s="11"/>
      <c r="C246" s="11"/>
      <c r="D246" s="11"/>
      <c r="E246" s="11"/>
      <c r="F246" s="11"/>
      <c r="G246" s="11"/>
      <c r="H246" s="11"/>
    </row>
    <row r="247" spans="1:8" x14ac:dyDescent="0.25">
      <c r="A247" s="11"/>
      <c r="B247" s="11"/>
      <c r="C247" s="11"/>
      <c r="D247" s="11"/>
      <c r="E247" s="11"/>
      <c r="F247" s="11"/>
      <c r="G247" s="11"/>
      <c r="H247" s="11"/>
    </row>
    <row r="248" spans="1:8" x14ac:dyDescent="0.25">
      <c r="A248" s="11"/>
      <c r="B248" s="11"/>
      <c r="C248" s="11"/>
      <c r="D248" s="11"/>
      <c r="E248" s="11"/>
      <c r="F248" s="11"/>
      <c r="G248" s="11"/>
      <c r="H248" s="11"/>
    </row>
    <row r="249" spans="1:8" x14ac:dyDescent="0.25">
      <c r="A249" s="11"/>
      <c r="B249" s="11"/>
      <c r="C249" s="11"/>
      <c r="D249" s="11"/>
      <c r="E249" s="11"/>
      <c r="F249" s="11"/>
      <c r="G249" s="11"/>
      <c r="H249" s="11"/>
    </row>
    <row r="250" spans="1:8" x14ac:dyDescent="0.25">
      <c r="A250" s="11"/>
      <c r="B250" s="11"/>
      <c r="C250" s="11"/>
      <c r="D250" s="11"/>
      <c r="E250" s="11"/>
      <c r="F250" s="11"/>
      <c r="G250" s="11"/>
      <c r="H250" s="11"/>
    </row>
    <row r="251" spans="1:8" x14ac:dyDescent="0.25">
      <c r="A251" s="11"/>
      <c r="B251" s="11"/>
      <c r="C251" s="11"/>
      <c r="D251" s="11"/>
      <c r="E251" s="11"/>
      <c r="F251" s="11"/>
      <c r="G251" s="11"/>
      <c r="H251" s="11"/>
    </row>
    <row r="252" spans="1:8" x14ac:dyDescent="0.25">
      <c r="A252" s="11"/>
      <c r="B252" s="11"/>
      <c r="C252" s="11"/>
      <c r="D252" s="11"/>
      <c r="E252" s="11"/>
      <c r="F252" s="11"/>
      <c r="G252" s="11"/>
      <c r="H252" s="11"/>
    </row>
    <row r="253" spans="1:8" x14ac:dyDescent="0.25">
      <c r="A253" s="11"/>
      <c r="B253" s="11"/>
      <c r="C253" s="11"/>
      <c r="D253" s="11"/>
      <c r="E253" s="11"/>
      <c r="F253" s="11"/>
      <c r="G253" s="11"/>
      <c r="H253" s="11"/>
    </row>
    <row r="254" spans="1:8" x14ac:dyDescent="0.25">
      <c r="A254" s="11"/>
      <c r="B254" s="11"/>
      <c r="C254" s="11"/>
      <c r="D254" s="11"/>
      <c r="E254" s="11"/>
      <c r="F254" s="11"/>
      <c r="G254" s="11"/>
      <c r="H254" s="11"/>
    </row>
    <row r="255" spans="1:8" x14ac:dyDescent="0.25">
      <c r="A255" s="11"/>
      <c r="B255" s="11"/>
      <c r="C255" s="11"/>
      <c r="D255" s="11"/>
      <c r="E255" s="11"/>
      <c r="F255" s="11"/>
      <c r="G255" s="11"/>
      <c r="H255" s="11"/>
    </row>
    <row r="256" spans="1:8" x14ac:dyDescent="0.25">
      <c r="A256" s="11"/>
      <c r="B256" s="11"/>
      <c r="C256" s="11"/>
      <c r="D256" s="11"/>
      <c r="E256" s="11"/>
      <c r="F256" s="11"/>
      <c r="G256" s="11"/>
      <c r="H256" s="11"/>
    </row>
    <row r="257" spans="1:8" x14ac:dyDescent="0.25">
      <c r="A257" s="11"/>
      <c r="B257" s="11"/>
      <c r="C257" s="11"/>
      <c r="D257" s="11"/>
      <c r="E257" s="11"/>
      <c r="F257" s="11"/>
      <c r="G257" s="11"/>
      <c r="H257" s="11"/>
    </row>
    <row r="258" spans="1:8" x14ac:dyDescent="0.25">
      <c r="A258" s="11"/>
      <c r="B258" s="11"/>
      <c r="C258" s="11"/>
      <c r="D258" s="11"/>
      <c r="E258" s="11"/>
      <c r="F258" s="11"/>
      <c r="G258" s="11"/>
      <c r="H258" s="11"/>
    </row>
    <row r="259" spans="1:8" x14ac:dyDescent="0.25">
      <c r="A259" s="11"/>
      <c r="B259" s="11"/>
      <c r="C259" s="11"/>
      <c r="D259" s="11"/>
      <c r="E259" s="11"/>
      <c r="F259" s="11"/>
      <c r="G259" s="11"/>
      <c r="H259" s="11"/>
    </row>
    <row r="260" spans="1:8" x14ac:dyDescent="0.25">
      <c r="A260" s="11"/>
      <c r="B260" s="11"/>
      <c r="C260" s="11"/>
      <c r="D260" s="11"/>
      <c r="E260" s="11"/>
      <c r="F260" s="11"/>
      <c r="G260" s="11"/>
      <c r="H260" s="11"/>
    </row>
    <row r="261" spans="1:8" x14ac:dyDescent="0.25">
      <c r="A261" s="11"/>
      <c r="B261" s="11"/>
      <c r="C261" s="11"/>
      <c r="D261" s="11"/>
      <c r="E261" s="11"/>
      <c r="F261" s="11"/>
      <c r="G261" s="11"/>
      <c r="H261" s="11"/>
    </row>
    <row r="262" spans="1:8" x14ac:dyDescent="0.25">
      <c r="A262" s="11"/>
      <c r="B262" s="11"/>
      <c r="C262" s="11"/>
      <c r="D262" s="11"/>
      <c r="E262" s="11"/>
      <c r="F262" s="11"/>
      <c r="G262" s="11"/>
      <c r="H262" s="11"/>
    </row>
    <row r="263" spans="1:8" x14ac:dyDescent="0.25">
      <c r="A263" s="11"/>
      <c r="B263" s="11"/>
      <c r="C263" s="11"/>
      <c r="D263" s="11"/>
      <c r="E263" s="11"/>
      <c r="F263" s="11"/>
      <c r="G263" s="11"/>
      <c r="H263" s="11"/>
    </row>
    <row r="264" spans="1:8" x14ac:dyDescent="0.25">
      <c r="A264" s="11"/>
      <c r="B264" s="11"/>
      <c r="C264" s="11"/>
      <c r="D264" s="11"/>
      <c r="E264" s="11"/>
      <c r="F264" s="11"/>
      <c r="G264" s="11"/>
      <c r="H264" s="11"/>
    </row>
    <row r="265" spans="1:8" x14ac:dyDescent="0.25">
      <c r="A265" s="11"/>
      <c r="B265" s="11"/>
      <c r="C265" s="11"/>
      <c r="D265" s="11"/>
      <c r="E265" s="11"/>
      <c r="F265" s="11"/>
      <c r="G265" s="11"/>
      <c r="H265" s="11"/>
    </row>
    <row r="266" spans="1:8" x14ac:dyDescent="0.25">
      <c r="A266" s="11"/>
      <c r="B266" s="11"/>
      <c r="C266" s="11"/>
      <c r="D266" s="11"/>
      <c r="E266" s="11"/>
      <c r="F266" s="11"/>
      <c r="G266" s="11"/>
      <c r="H266" s="11"/>
    </row>
    <row r="267" spans="1:8" x14ac:dyDescent="0.25">
      <c r="A267" s="11"/>
      <c r="B267" s="11"/>
      <c r="C267" s="11"/>
      <c r="D267" s="11"/>
      <c r="E267" s="11"/>
      <c r="F267" s="11"/>
      <c r="G267" s="11"/>
      <c r="H267" s="11"/>
    </row>
    <row r="268" spans="1:8" x14ac:dyDescent="0.25">
      <c r="A268" s="11"/>
      <c r="B268" s="11"/>
      <c r="C268" s="11"/>
      <c r="D268" s="11"/>
      <c r="E268" s="11"/>
      <c r="F268" s="11"/>
      <c r="G268" s="11"/>
      <c r="H268" s="11"/>
    </row>
    <row r="269" spans="1:8" x14ac:dyDescent="0.25">
      <c r="A269" s="11"/>
      <c r="B269" s="11"/>
      <c r="C269" s="11"/>
      <c r="D269" s="11"/>
      <c r="E269" s="11"/>
      <c r="F269" s="11"/>
      <c r="G269" s="11"/>
      <c r="H269" s="11"/>
    </row>
    <row r="270" spans="1:8" x14ac:dyDescent="0.25">
      <c r="A270" s="11"/>
      <c r="B270" s="11"/>
      <c r="C270" s="11"/>
      <c r="D270" s="11"/>
      <c r="E270" s="11"/>
      <c r="F270" s="11"/>
      <c r="G270" s="11"/>
      <c r="H270" s="11"/>
    </row>
    <row r="271" spans="1:8" x14ac:dyDescent="0.25">
      <c r="A271" s="11"/>
      <c r="B271" s="11"/>
      <c r="C271" s="11"/>
      <c r="D271" s="11"/>
      <c r="E271" s="11"/>
      <c r="F271" s="11"/>
      <c r="G271" s="11"/>
      <c r="H271" s="11"/>
    </row>
    <row r="272" spans="1:8" x14ac:dyDescent="0.25">
      <c r="A272" s="11"/>
      <c r="B272" s="11"/>
      <c r="C272" s="11"/>
      <c r="D272" s="11"/>
      <c r="E272" s="11"/>
      <c r="F272" s="11"/>
      <c r="G272" s="11"/>
      <c r="H272" s="11"/>
    </row>
    <row r="273" spans="1:8" x14ac:dyDescent="0.25">
      <c r="A273" s="11"/>
      <c r="B273" s="11"/>
      <c r="C273" s="11"/>
      <c r="D273" s="11"/>
      <c r="E273" s="11"/>
      <c r="F273" s="11"/>
      <c r="G273" s="11"/>
      <c r="H273" s="11"/>
    </row>
    <row r="274" spans="1:8" x14ac:dyDescent="0.25">
      <c r="A274" s="11"/>
      <c r="B274" s="11"/>
      <c r="C274" s="11"/>
      <c r="D274" s="11"/>
      <c r="E274" s="11"/>
      <c r="F274" s="11"/>
      <c r="G274" s="11"/>
      <c r="H274" s="11"/>
    </row>
  </sheetData>
  <mergeCells count="2">
    <mergeCell ref="B28:H28"/>
    <mergeCell ref="A4:H4"/>
  </mergeCells>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G32"/>
  <sheetViews>
    <sheetView showGridLines="0" zoomScale="80" zoomScaleNormal="80" workbookViewId="0">
      <selection activeCell="B6" sqref="B6"/>
    </sheetView>
  </sheetViews>
  <sheetFormatPr defaultRowHeight="15" x14ac:dyDescent="0.25"/>
  <cols>
    <col min="3" max="3" width="20.85546875" customWidth="1"/>
    <col min="4" max="4" width="32" customWidth="1"/>
    <col min="5" max="5" width="25.5703125" bestFit="1" customWidth="1"/>
    <col min="6" max="6" width="25.5703125" customWidth="1"/>
    <col min="7" max="7" width="44.42578125" customWidth="1"/>
  </cols>
  <sheetData>
    <row r="1" spans="1:7" x14ac:dyDescent="0.25">
      <c r="C1" s="2" t="s">
        <v>4</v>
      </c>
      <c r="D1" s="2" t="s">
        <v>31</v>
      </c>
      <c r="E1" s="2" t="s">
        <v>17</v>
      </c>
      <c r="F1" s="2" t="s">
        <v>143</v>
      </c>
      <c r="G1" s="2" t="s">
        <v>16</v>
      </c>
    </row>
    <row r="2" spans="1:7" x14ac:dyDescent="0.25">
      <c r="A2" s="1" t="s">
        <v>19</v>
      </c>
      <c r="C2" s="1" t="s">
        <v>6</v>
      </c>
      <c r="D2" s="1">
        <v>0</v>
      </c>
      <c r="E2" s="1">
        <v>0</v>
      </c>
      <c r="F2" s="1"/>
      <c r="G2" s="1">
        <v>0</v>
      </c>
    </row>
    <row r="3" spans="1:7" x14ac:dyDescent="0.25">
      <c r="A3" s="1" t="s">
        <v>20</v>
      </c>
      <c r="C3" s="1" t="s">
        <v>7</v>
      </c>
      <c r="D3" s="1">
        <v>2</v>
      </c>
      <c r="E3" s="1">
        <v>4</v>
      </c>
      <c r="F3" s="1"/>
      <c r="G3" s="1">
        <v>3</v>
      </c>
    </row>
    <row r="4" spans="1:7" x14ac:dyDescent="0.25">
      <c r="A4" s="1" t="s">
        <v>21</v>
      </c>
      <c r="C4" s="1" t="s">
        <v>8</v>
      </c>
      <c r="D4" s="1">
        <v>4</v>
      </c>
      <c r="E4" s="1">
        <v>6</v>
      </c>
      <c r="F4" s="1"/>
      <c r="G4" s="1">
        <v>5</v>
      </c>
    </row>
    <row r="5" spans="1:7" x14ac:dyDescent="0.25">
      <c r="C5" s="1" t="s">
        <v>9</v>
      </c>
      <c r="D5" s="1">
        <v>6</v>
      </c>
      <c r="E5" s="1">
        <v>8</v>
      </c>
      <c r="F5" s="1"/>
      <c r="G5" s="1">
        <v>7</v>
      </c>
    </row>
    <row r="6" spans="1:7" x14ac:dyDescent="0.25">
      <c r="C6" s="1" t="s">
        <v>10</v>
      </c>
      <c r="D6" s="1">
        <v>8</v>
      </c>
      <c r="E6" s="1">
        <v>10</v>
      </c>
      <c r="F6" s="1"/>
      <c r="G6" s="1">
        <v>9</v>
      </c>
    </row>
    <row r="8" spans="1:7" x14ac:dyDescent="0.25">
      <c r="C8" s="66" t="s">
        <v>1</v>
      </c>
      <c r="D8" s="2" t="s">
        <v>144</v>
      </c>
      <c r="F8" s="3" t="s">
        <v>49</v>
      </c>
    </row>
    <row r="9" spans="1:7" x14ac:dyDescent="0.25">
      <c r="C9" s="1">
        <v>1</v>
      </c>
      <c r="D9" s="1" t="s">
        <v>120</v>
      </c>
      <c r="F9" s="1" t="s">
        <v>55</v>
      </c>
    </row>
    <row r="10" spans="1:7" x14ac:dyDescent="0.25">
      <c r="C10" s="1">
        <v>2</v>
      </c>
      <c r="D10" s="1" t="s">
        <v>121</v>
      </c>
      <c r="F10" s="1" t="s">
        <v>106</v>
      </c>
    </row>
    <row r="11" spans="1:7" x14ac:dyDescent="0.25">
      <c r="C11" s="1">
        <v>3</v>
      </c>
      <c r="D11" s="1" t="s">
        <v>122</v>
      </c>
      <c r="F11" s="1" t="s">
        <v>108</v>
      </c>
    </row>
    <row r="12" spans="1:7" x14ac:dyDescent="0.25">
      <c r="C12" s="1">
        <v>4</v>
      </c>
      <c r="D12" s="1" t="s">
        <v>123</v>
      </c>
    </row>
    <row r="13" spans="1:7" x14ac:dyDescent="0.25">
      <c r="C13" s="1">
        <v>5</v>
      </c>
      <c r="D13" s="1" t="s">
        <v>124</v>
      </c>
    </row>
    <row r="14" spans="1:7" x14ac:dyDescent="0.25">
      <c r="C14" s="1">
        <v>6</v>
      </c>
      <c r="D14" s="1" t="s">
        <v>125</v>
      </c>
    </row>
    <row r="15" spans="1:7" x14ac:dyDescent="0.25">
      <c r="C15" s="1">
        <v>7</v>
      </c>
      <c r="D15" s="1" t="s">
        <v>126</v>
      </c>
    </row>
    <row r="16" spans="1:7" x14ac:dyDescent="0.25">
      <c r="C16" s="1">
        <v>8</v>
      </c>
      <c r="D16" s="1" t="s">
        <v>77</v>
      </c>
    </row>
    <row r="17" spans="3:4" x14ac:dyDescent="0.25">
      <c r="C17" s="1">
        <v>9</v>
      </c>
      <c r="D17" s="1" t="s">
        <v>146</v>
      </c>
    </row>
    <row r="18" spans="3:4" x14ac:dyDescent="0.25">
      <c r="C18" s="1">
        <v>10</v>
      </c>
      <c r="D18" s="1" t="s">
        <v>130</v>
      </c>
    </row>
    <row r="19" spans="3:4" x14ac:dyDescent="0.25">
      <c r="C19" s="1">
        <v>11</v>
      </c>
      <c r="D19" s="1" t="s">
        <v>145</v>
      </c>
    </row>
    <row r="20" spans="3:4" x14ac:dyDescent="0.25">
      <c r="C20" s="1">
        <v>12</v>
      </c>
      <c r="D20" s="1" t="s">
        <v>132</v>
      </c>
    </row>
    <row r="21" spans="3:4" x14ac:dyDescent="0.25">
      <c r="C21" s="1">
        <v>13</v>
      </c>
      <c r="D21" s="1" t="s">
        <v>133</v>
      </c>
    </row>
    <row r="22" spans="3:4" x14ac:dyDescent="0.25">
      <c r="C22" s="1">
        <v>14</v>
      </c>
      <c r="D22" s="1" t="s">
        <v>134</v>
      </c>
    </row>
    <row r="23" spans="3:4" x14ac:dyDescent="0.25">
      <c r="C23" s="1">
        <v>15</v>
      </c>
      <c r="D23" s="1" t="s">
        <v>135</v>
      </c>
    </row>
    <row r="24" spans="3:4" x14ac:dyDescent="0.25">
      <c r="C24" s="1">
        <v>16</v>
      </c>
      <c r="D24" s="1" t="s">
        <v>136</v>
      </c>
    </row>
    <row r="25" spans="3:4" x14ac:dyDescent="0.25">
      <c r="C25" s="1">
        <v>17</v>
      </c>
      <c r="D25" s="1" t="s">
        <v>137</v>
      </c>
    </row>
    <row r="26" spans="3:4" x14ac:dyDescent="0.25">
      <c r="C26" s="1">
        <v>18</v>
      </c>
      <c r="D26" s="1" t="s">
        <v>138</v>
      </c>
    </row>
    <row r="27" spans="3:4" x14ac:dyDescent="0.25">
      <c r="C27" s="1">
        <v>19</v>
      </c>
      <c r="D27" s="1" t="s">
        <v>139</v>
      </c>
    </row>
    <row r="28" spans="3:4" x14ac:dyDescent="0.25">
      <c r="C28" s="1">
        <v>20</v>
      </c>
      <c r="D28" s="1" t="s">
        <v>140</v>
      </c>
    </row>
    <row r="29" spans="3:4" x14ac:dyDescent="0.25">
      <c r="C29" s="1">
        <v>21</v>
      </c>
      <c r="D29" s="1" t="s">
        <v>141</v>
      </c>
    </row>
    <row r="30" spans="3:4" x14ac:dyDescent="0.25">
      <c r="C30" s="1"/>
      <c r="D30" s="1" t="s">
        <v>142</v>
      </c>
    </row>
    <row r="31" spans="3:4" x14ac:dyDescent="0.25">
      <c r="C31" s="1"/>
      <c r="D31" s="1"/>
    </row>
    <row r="32" spans="3:4" x14ac:dyDescent="0.25">
      <c r="C32" s="1"/>
      <c r="D32" s="1"/>
    </row>
  </sheetData>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HF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B2:N39"/>
  <sheetViews>
    <sheetView showGridLines="0" zoomScaleNormal="100" workbookViewId="0">
      <selection activeCell="B6" sqref="B6"/>
    </sheetView>
  </sheetViews>
  <sheetFormatPr defaultRowHeight="15" x14ac:dyDescent="0.25"/>
  <cols>
    <col min="3" max="3" width="35.7109375" bestFit="1" customWidth="1"/>
    <col min="4" max="4" width="11.5703125" bestFit="1" customWidth="1"/>
    <col min="5" max="5" width="16.42578125" customWidth="1"/>
    <col min="6" max="6" width="10.140625" bestFit="1" customWidth="1"/>
    <col min="7" max="7" width="14" customWidth="1"/>
    <col min="8" max="8" width="11.85546875" bestFit="1" customWidth="1"/>
    <col min="9" max="9" width="11.7109375" customWidth="1"/>
    <col min="10" max="10" width="11.5703125" bestFit="1" customWidth="1"/>
    <col min="11" max="11" width="13.42578125" customWidth="1"/>
    <col min="12" max="12" width="17.85546875" customWidth="1"/>
    <col min="13" max="13" width="16.42578125" customWidth="1"/>
    <col min="14" max="14" width="12.7109375" customWidth="1"/>
  </cols>
  <sheetData>
    <row r="2" spans="2:14" x14ac:dyDescent="0.25">
      <c r="B2" s="2" t="s">
        <v>46</v>
      </c>
      <c r="C2" s="2" t="s">
        <v>65</v>
      </c>
      <c r="D2" s="2" t="s">
        <v>54</v>
      </c>
      <c r="E2" s="2" t="s">
        <v>48</v>
      </c>
      <c r="F2" s="2" t="s">
        <v>49</v>
      </c>
      <c r="G2" s="2" t="s">
        <v>50</v>
      </c>
      <c r="H2" s="2" t="s">
        <v>51</v>
      </c>
      <c r="I2" s="2" t="s">
        <v>2</v>
      </c>
      <c r="J2" s="2" t="s">
        <v>52</v>
      </c>
      <c r="K2" s="2" t="s">
        <v>53</v>
      </c>
      <c r="L2" s="2" t="s">
        <v>56</v>
      </c>
      <c r="M2" s="2" t="s">
        <v>57</v>
      </c>
      <c r="N2" s="2" t="s">
        <v>67</v>
      </c>
    </row>
    <row r="3" spans="2:14" x14ac:dyDescent="0.25">
      <c r="B3" s="1" t="s">
        <v>59</v>
      </c>
      <c r="C3" s="1" t="s">
        <v>120</v>
      </c>
      <c r="D3" s="67">
        <v>25000</v>
      </c>
      <c r="E3" s="67">
        <f t="shared" ref="E3:E39" si="0">D3*1.3</f>
        <v>32500</v>
      </c>
      <c r="F3" s="1" t="s">
        <v>55</v>
      </c>
      <c r="G3" s="67">
        <v>1000</v>
      </c>
      <c r="H3" s="67">
        <f t="shared" ref="H3:H39" si="1">SUM(G3,E3)</f>
        <v>33500</v>
      </c>
      <c r="I3" s="68">
        <v>0.5</v>
      </c>
      <c r="J3" s="67">
        <f t="shared" ref="J3:J39" si="2">INT(E3/(1-I3)+G3)</f>
        <v>66000</v>
      </c>
      <c r="K3" s="67">
        <f t="shared" ref="K3:K39" si="3">J3/20</f>
        <v>3300</v>
      </c>
      <c r="L3" s="68" t="s">
        <v>30</v>
      </c>
      <c r="M3" s="1"/>
      <c r="N3" s="1">
        <f>H3/20</f>
        <v>1675</v>
      </c>
    </row>
    <row r="4" spans="2:14" x14ac:dyDescent="0.25">
      <c r="B4" s="1" t="s">
        <v>58</v>
      </c>
      <c r="C4" s="1" t="s">
        <v>120</v>
      </c>
      <c r="D4" s="67">
        <v>25000</v>
      </c>
      <c r="E4" s="67">
        <f t="shared" si="0"/>
        <v>32500</v>
      </c>
      <c r="F4" s="1" t="s">
        <v>106</v>
      </c>
      <c r="G4" s="67">
        <v>10000</v>
      </c>
      <c r="H4" s="67">
        <f t="shared" si="1"/>
        <v>42500</v>
      </c>
      <c r="I4" s="68">
        <v>0.5</v>
      </c>
      <c r="J4" s="67">
        <f t="shared" si="2"/>
        <v>75000</v>
      </c>
      <c r="K4" s="67">
        <f t="shared" si="3"/>
        <v>3750</v>
      </c>
      <c r="L4" s="68">
        <v>0.5</v>
      </c>
      <c r="M4" s="67">
        <f t="shared" ref="M4:M11" si="4">L4*K4</f>
        <v>1875</v>
      </c>
      <c r="N4" s="1">
        <f t="shared" ref="N4:N39" si="5">H4/20</f>
        <v>2125</v>
      </c>
    </row>
    <row r="5" spans="2:14" x14ac:dyDescent="0.25">
      <c r="B5" s="1" t="s">
        <v>58</v>
      </c>
      <c r="C5" s="1" t="s">
        <v>120</v>
      </c>
      <c r="D5" s="67">
        <v>25000</v>
      </c>
      <c r="E5" s="67">
        <f>D5*1.3</f>
        <v>32500</v>
      </c>
      <c r="F5" s="1" t="s">
        <v>108</v>
      </c>
      <c r="G5" s="67">
        <v>0</v>
      </c>
      <c r="H5" s="67">
        <f>SUM(G5,E5)</f>
        <v>32500</v>
      </c>
      <c r="I5" s="68">
        <v>0.5</v>
      </c>
      <c r="J5" s="67">
        <f>INT(E5/(1-I5)+G5)</f>
        <v>65000</v>
      </c>
      <c r="K5" s="67">
        <f>J5/20</f>
        <v>3250</v>
      </c>
      <c r="L5" s="68">
        <v>0.5</v>
      </c>
      <c r="M5" s="67">
        <f t="shared" si="4"/>
        <v>1625</v>
      </c>
      <c r="N5" s="1">
        <f>H5/20</f>
        <v>1625</v>
      </c>
    </row>
    <row r="6" spans="2:14" x14ac:dyDescent="0.25">
      <c r="B6" s="1" t="s">
        <v>60</v>
      </c>
      <c r="C6" s="1" t="s">
        <v>121</v>
      </c>
      <c r="D6" s="67">
        <v>40000</v>
      </c>
      <c r="E6" s="67">
        <f t="shared" si="0"/>
        <v>52000</v>
      </c>
      <c r="F6" s="1" t="s">
        <v>55</v>
      </c>
      <c r="G6" s="67">
        <v>1000</v>
      </c>
      <c r="H6" s="67">
        <f t="shared" si="1"/>
        <v>53000</v>
      </c>
      <c r="I6" s="68">
        <v>0.4</v>
      </c>
      <c r="J6" s="67">
        <f t="shared" si="2"/>
        <v>87666</v>
      </c>
      <c r="K6" s="67">
        <f t="shared" si="3"/>
        <v>4383.3</v>
      </c>
      <c r="L6" s="68">
        <v>0.2</v>
      </c>
      <c r="M6" s="67">
        <f t="shared" si="4"/>
        <v>876.66000000000008</v>
      </c>
      <c r="N6" s="1">
        <f t="shared" si="5"/>
        <v>2650</v>
      </c>
    </row>
    <row r="7" spans="2:14" x14ac:dyDescent="0.25">
      <c r="B7" s="1" t="s">
        <v>60</v>
      </c>
      <c r="C7" s="1" t="s">
        <v>121</v>
      </c>
      <c r="D7" s="67">
        <v>40000</v>
      </c>
      <c r="E7" s="67">
        <f t="shared" si="0"/>
        <v>52000</v>
      </c>
      <c r="F7" s="1" t="s">
        <v>106</v>
      </c>
      <c r="G7" s="67">
        <v>10000</v>
      </c>
      <c r="H7" s="67">
        <f t="shared" si="1"/>
        <v>62000</v>
      </c>
      <c r="I7" s="68">
        <v>0.4</v>
      </c>
      <c r="J7" s="67">
        <f t="shared" si="2"/>
        <v>96666</v>
      </c>
      <c r="K7" s="67">
        <f t="shared" si="3"/>
        <v>4833.3</v>
      </c>
      <c r="L7" s="68">
        <v>0.2</v>
      </c>
      <c r="M7" s="67">
        <f t="shared" si="4"/>
        <v>966.66000000000008</v>
      </c>
      <c r="N7" s="1">
        <f t="shared" si="5"/>
        <v>3100</v>
      </c>
    </row>
    <row r="8" spans="2:14" x14ac:dyDescent="0.25">
      <c r="B8" s="1" t="s">
        <v>61</v>
      </c>
      <c r="C8" s="1" t="s">
        <v>122</v>
      </c>
      <c r="D8" s="67">
        <v>60000</v>
      </c>
      <c r="E8" s="67">
        <f t="shared" si="0"/>
        <v>78000</v>
      </c>
      <c r="F8" s="1" t="s">
        <v>55</v>
      </c>
      <c r="G8" s="67">
        <v>1000</v>
      </c>
      <c r="H8" s="67">
        <f t="shared" si="1"/>
        <v>79000</v>
      </c>
      <c r="I8" s="68">
        <v>0.3</v>
      </c>
      <c r="J8" s="67">
        <f t="shared" si="2"/>
        <v>112428</v>
      </c>
      <c r="K8" s="67">
        <f t="shared" si="3"/>
        <v>5621.4</v>
      </c>
      <c r="L8" s="68">
        <v>0.2</v>
      </c>
      <c r="M8" s="67">
        <f t="shared" si="4"/>
        <v>1124.28</v>
      </c>
      <c r="N8" s="1">
        <f t="shared" si="5"/>
        <v>3950</v>
      </c>
    </row>
    <row r="9" spans="2:14" x14ac:dyDescent="0.25">
      <c r="B9" s="1" t="s">
        <v>61</v>
      </c>
      <c r="C9" s="1" t="s">
        <v>122</v>
      </c>
      <c r="D9" s="67">
        <v>60000</v>
      </c>
      <c r="E9" s="67">
        <f t="shared" si="0"/>
        <v>78000</v>
      </c>
      <c r="F9" s="1" t="s">
        <v>106</v>
      </c>
      <c r="G9" s="67">
        <v>10000</v>
      </c>
      <c r="H9" s="67">
        <f t="shared" si="1"/>
        <v>88000</v>
      </c>
      <c r="I9" s="68">
        <v>0.3</v>
      </c>
      <c r="J9" s="67">
        <f t="shared" si="2"/>
        <v>121428</v>
      </c>
      <c r="K9" s="67">
        <f t="shared" si="3"/>
        <v>6071.4</v>
      </c>
      <c r="L9" s="68">
        <v>0.2</v>
      </c>
      <c r="M9" s="67">
        <f t="shared" si="4"/>
        <v>1214.28</v>
      </c>
      <c r="N9" s="1">
        <f t="shared" si="5"/>
        <v>4400</v>
      </c>
    </row>
    <row r="10" spans="2:14" x14ac:dyDescent="0.25">
      <c r="B10" s="1" t="s">
        <v>62</v>
      </c>
      <c r="C10" s="1" t="s">
        <v>123</v>
      </c>
      <c r="D10" s="67">
        <v>100000</v>
      </c>
      <c r="E10" s="67">
        <f t="shared" si="0"/>
        <v>130000</v>
      </c>
      <c r="F10" s="1" t="s">
        <v>55</v>
      </c>
      <c r="G10" s="67">
        <v>1000</v>
      </c>
      <c r="H10" s="67">
        <f t="shared" si="1"/>
        <v>131000</v>
      </c>
      <c r="I10" s="68">
        <v>0.25</v>
      </c>
      <c r="J10" s="67">
        <f t="shared" si="2"/>
        <v>174333</v>
      </c>
      <c r="K10" s="67">
        <f t="shared" si="3"/>
        <v>8716.65</v>
      </c>
      <c r="L10" s="68">
        <v>0.1</v>
      </c>
      <c r="M10" s="67">
        <f t="shared" si="4"/>
        <v>871.66499999999996</v>
      </c>
      <c r="N10" s="1">
        <f t="shared" si="5"/>
        <v>6550</v>
      </c>
    </row>
    <row r="11" spans="2:14" x14ac:dyDescent="0.25">
      <c r="B11" s="1" t="s">
        <v>62</v>
      </c>
      <c r="C11" s="1" t="s">
        <v>123</v>
      </c>
      <c r="D11" s="67">
        <v>100000</v>
      </c>
      <c r="E11" s="67">
        <f t="shared" si="0"/>
        <v>130000</v>
      </c>
      <c r="F11" s="1" t="s">
        <v>106</v>
      </c>
      <c r="G11" s="67">
        <v>10000</v>
      </c>
      <c r="H11" s="67">
        <f t="shared" si="1"/>
        <v>140000</v>
      </c>
      <c r="I11" s="68">
        <v>0.25</v>
      </c>
      <c r="J11" s="67">
        <f t="shared" si="2"/>
        <v>183333</v>
      </c>
      <c r="K11" s="67">
        <f t="shared" si="3"/>
        <v>9166.65</v>
      </c>
      <c r="L11" s="68">
        <v>0.1</v>
      </c>
      <c r="M11" s="67">
        <f t="shared" si="4"/>
        <v>916.66499999999996</v>
      </c>
      <c r="N11" s="1">
        <f t="shared" si="5"/>
        <v>7000</v>
      </c>
    </row>
    <row r="12" spans="2:14" x14ac:dyDescent="0.25">
      <c r="B12" s="1" t="s">
        <v>59</v>
      </c>
      <c r="C12" s="1" t="s">
        <v>124</v>
      </c>
      <c r="D12" s="67">
        <v>25000</v>
      </c>
      <c r="E12" s="67">
        <f t="shared" si="0"/>
        <v>32500</v>
      </c>
      <c r="F12" s="1" t="s">
        <v>106</v>
      </c>
      <c r="G12" s="67">
        <v>1000</v>
      </c>
      <c r="H12" s="67">
        <f t="shared" si="1"/>
        <v>33500</v>
      </c>
      <c r="I12" s="68">
        <v>0.5</v>
      </c>
      <c r="J12" s="67">
        <f t="shared" si="2"/>
        <v>66000</v>
      </c>
      <c r="K12" s="67">
        <f>J12/20</f>
        <v>3300</v>
      </c>
      <c r="L12" s="68" t="s">
        <v>30</v>
      </c>
      <c r="M12" s="1"/>
      <c r="N12" s="1">
        <f t="shared" si="5"/>
        <v>1675</v>
      </c>
    </row>
    <row r="13" spans="2:14" x14ac:dyDescent="0.25">
      <c r="B13" s="1" t="s">
        <v>59</v>
      </c>
      <c r="C13" s="1" t="s">
        <v>124</v>
      </c>
      <c r="D13" s="67">
        <v>25000</v>
      </c>
      <c r="E13" s="67">
        <f t="shared" si="0"/>
        <v>32500</v>
      </c>
      <c r="F13" s="1" t="s">
        <v>55</v>
      </c>
      <c r="G13" s="67">
        <v>1000</v>
      </c>
      <c r="H13" s="67">
        <f t="shared" si="1"/>
        <v>33500</v>
      </c>
      <c r="I13" s="68">
        <v>0.5</v>
      </c>
      <c r="J13" s="67">
        <f t="shared" si="2"/>
        <v>66000</v>
      </c>
      <c r="K13" s="67">
        <f t="shared" ref="K13:K28" si="6">J13/20</f>
        <v>3300</v>
      </c>
      <c r="L13" s="68">
        <v>0.5</v>
      </c>
      <c r="M13" s="67">
        <f t="shared" ref="M13:M24" si="7">L13*K13</f>
        <v>1650</v>
      </c>
      <c r="N13" s="1">
        <f t="shared" si="5"/>
        <v>1675</v>
      </c>
    </row>
    <row r="14" spans="2:14" x14ac:dyDescent="0.25">
      <c r="B14" s="1" t="s">
        <v>59</v>
      </c>
      <c r="C14" s="1" t="s">
        <v>124</v>
      </c>
      <c r="D14" s="67">
        <v>25000</v>
      </c>
      <c r="E14" s="67">
        <f>D14*1.3</f>
        <v>32500</v>
      </c>
      <c r="F14" s="1" t="s">
        <v>108</v>
      </c>
      <c r="G14" s="67">
        <v>1000</v>
      </c>
      <c r="H14" s="67">
        <f>SUM(G14,E14)</f>
        <v>33500</v>
      </c>
      <c r="I14" s="68">
        <v>0.5</v>
      </c>
      <c r="J14" s="67">
        <f>INT(E14/(1-I14)+G14)</f>
        <v>66000</v>
      </c>
      <c r="K14" s="67">
        <f>J14/20</f>
        <v>3300</v>
      </c>
      <c r="L14" s="68">
        <v>0.5</v>
      </c>
      <c r="M14" s="67">
        <f t="shared" si="7"/>
        <v>1650</v>
      </c>
      <c r="N14" s="1">
        <f>H14/20</f>
        <v>1675</v>
      </c>
    </row>
    <row r="15" spans="2:14" x14ac:dyDescent="0.25">
      <c r="B15" s="1" t="s">
        <v>58</v>
      </c>
      <c r="C15" s="1" t="s">
        <v>125</v>
      </c>
      <c r="D15" s="67">
        <v>40000</v>
      </c>
      <c r="E15" s="67">
        <f t="shared" si="0"/>
        <v>52000</v>
      </c>
      <c r="F15" s="1" t="s">
        <v>106</v>
      </c>
      <c r="G15" s="67">
        <v>10000</v>
      </c>
      <c r="H15" s="67">
        <f t="shared" si="1"/>
        <v>62000</v>
      </c>
      <c r="I15" s="68">
        <v>0.5</v>
      </c>
      <c r="J15" s="67">
        <f t="shared" si="2"/>
        <v>114000</v>
      </c>
      <c r="K15" s="67">
        <f t="shared" si="6"/>
        <v>5700</v>
      </c>
      <c r="L15" s="68">
        <v>0.5</v>
      </c>
      <c r="M15" s="67">
        <f t="shared" si="7"/>
        <v>2850</v>
      </c>
      <c r="N15" s="1">
        <f t="shared" si="5"/>
        <v>3100</v>
      </c>
    </row>
    <row r="16" spans="2:14" x14ac:dyDescent="0.25">
      <c r="B16" s="1" t="s">
        <v>58</v>
      </c>
      <c r="C16" s="1" t="s">
        <v>125</v>
      </c>
      <c r="D16" s="67">
        <v>40000</v>
      </c>
      <c r="E16" s="67">
        <f t="shared" si="0"/>
        <v>52000</v>
      </c>
      <c r="F16" s="1" t="s">
        <v>55</v>
      </c>
      <c r="G16" s="67">
        <v>1000</v>
      </c>
      <c r="H16" s="67">
        <f t="shared" si="1"/>
        <v>53000</v>
      </c>
      <c r="I16" s="68">
        <v>0.5</v>
      </c>
      <c r="J16" s="67">
        <f t="shared" si="2"/>
        <v>105000</v>
      </c>
      <c r="K16" s="67">
        <f t="shared" si="6"/>
        <v>5250</v>
      </c>
      <c r="L16" s="68">
        <v>0.5</v>
      </c>
      <c r="M16" s="67">
        <f t="shared" si="7"/>
        <v>2625</v>
      </c>
      <c r="N16" s="1">
        <f t="shared" si="5"/>
        <v>2650</v>
      </c>
    </row>
    <row r="17" spans="2:14" x14ac:dyDescent="0.25">
      <c r="B17" s="1" t="s">
        <v>58</v>
      </c>
      <c r="C17" s="1" t="s">
        <v>125</v>
      </c>
      <c r="D17" s="67">
        <v>40000</v>
      </c>
      <c r="E17" s="67">
        <f>D17*1.3</f>
        <v>52000</v>
      </c>
      <c r="F17" s="1" t="s">
        <v>108</v>
      </c>
      <c r="G17" s="67">
        <v>1000</v>
      </c>
      <c r="H17" s="67">
        <f>SUM(G17,E17)</f>
        <v>53000</v>
      </c>
      <c r="I17" s="68">
        <v>0.5</v>
      </c>
      <c r="J17" s="67">
        <f>INT(E17/(1-I17)+G17)</f>
        <v>105000</v>
      </c>
      <c r="K17" s="67">
        <f>J17/20</f>
        <v>5250</v>
      </c>
      <c r="L17" s="68">
        <v>0.5</v>
      </c>
      <c r="M17" s="67">
        <f t="shared" si="7"/>
        <v>2625</v>
      </c>
      <c r="N17" s="1">
        <f>H17/20</f>
        <v>2650</v>
      </c>
    </row>
    <row r="18" spans="2:14" x14ac:dyDescent="0.25">
      <c r="B18" s="1" t="s">
        <v>60</v>
      </c>
      <c r="C18" s="1" t="s">
        <v>126</v>
      </c>
      <c r="D18" s="67">
        <v>50000</v>
      </c>
      <c r="E18" s="67">
        <f t="shared" si="0"/>
        <v>65000</v>
      </c>
      <c r="F18" s="1" t="s">
        <v>106</v>
      </c>
      <c r="G18" s="67">
        <v>10000</v>
      </c>
      <c r="H18" s="67">
        <f t="shared" si="1"/>
        <v>75000</v>
      </c>
      <c r="I18" s="68">
        <v>0.4</v>
      </c>
      <c r="J18" s="67">
        <f t="shared" si="2"/>
        <v>118333</v>
      </c>
      <c r="K18" s="67">
        <f t="shared" si="6"/>
        <v>5916.65</v>
      </c>
      <c r="L18" s="68">
        <v>0.2</v>
      </c>
      <c r="M18" s="67">
        <f t="shared" si="7"/>
        <v>1183.33</v>
      </c>
      <c r="N18" s="1">
        <f t="shared" si="5"/>
        <v>3750</v>
      </c>
    </row>
    <row r="19" spans="2:14" x14ac:dyDescent="0.25">
      <c r="B19" s="1" t="s">
        <v>60</v>
      </c>
      <c r="C19" s="1" t="s">
        <v>127</v>
      </c>
      <c r="D19" s="67">
        <v>50000</v>
      </c>
      <c r="E19" s="67">
        <f t="shared" si="0"/>
        <v>65000</v>
      </c>
      <c r="F19" s="1" t="s">
        <v>55</v>
      </c>
      <c r="G19" s="67">
        <v>1000</v>
      </c>
      <c r="H19" s="67">
        <f t="shared" si="1"/>
        <v>66000</v>
      </c>
      <c r="I19" s="68">
        <v>0.4</v>
      </c>
      <c r="J19" s="67">
        <f t="shared" si="2"/>
        <v>109333</v>
      </c>
      <c r="K19" s="67">
        <f t="shared" si="6"/>
        <v>5466.65</v>
      </c>
      <c r="L19" s="68">
        <v>0.2</v>
      </c>
      <c r="M19" s="67">
        <f t="shared" si="7"/>
        <v>1093.33</v>
      </c>
      <c r="N19" s="1">
        <f t="shared" si="5"/>
        <v>3300</v>
      </c>
    </row>
    <row r="20" spans="2:14" x14ac:dyDescent="0.25">
      <c r="B20" s="1" t="s">
        <v>61</v>
      </c>
      <c r="C20" s="1" t="s">
        <v>77</v>
      </c>
      <c r="D20" s="67">
        <v>80000</v>
      </c>
      <c r="E20" s="67">
        <f t="shared" si="0"/>
        <v>104000</v>
      </c>
      <c r="F20" s="1" t="s">
        <v>106</v>
      </c>
      <c r="G20" s="67">
        <v>10000</v>
      </c>
      <c r="H20" s="67">
        <f t="shared" si="1"/>
        <v>114000</v>
      </c>
      <c r="I20" s="68">
        <v>0.3</v>
      </c>
      <c r="J20" s="67">
        <f t="shared" si="2"/>
        <v>158571</v>
      </c>
      <c r="K20" s="67">
        <f t="shared" si="6"/>
        <v>7928.55</v>
      </c>
      <c r="L20" s="68">
        <v>0.2</v>
      </c>
      <c r="M20" s="67">
        <f t="shared" si="7"/>
        <v>1585.71</v>
      </c>
      <c r="N20" s="1">
        <f t="shared" si="5"/>
        <v>5700</v>
      </c>
    </row>
    <row r="21" spans="2:14" x14ac:dyDescent="0.25">
      <c r="B21" s="1" t="s">
        <v>61</v>
      </c>
      <c r="C21" s="1" t="s">
        <v>77</v>
      </c>
      <c r="D21" s="67">
        <v>80000</v>
      </c>
      <c r="E21" s="67">
        <f>D21*1.3</f>
        <v>104000</v>
      </c>
      <c r="F21" s="1" t="s">
        <v>55</v>
      </c>
      <c r="G21" s="67">
        <v>10000</v>
      </c>
      <c r="H21" s="67">
        <f>SUM(G21,E21)</f>
        <v>114000</v>
      </c>
      <c r="I21" s="68">
        <v>0.3</v>
      </c>
      <c r="J21" s="67">
        <f>INT(E21/(1-I21)+G21)</f>
        <v>158571</v>
      </c>
      <c r="K21" s="67">
        <f>J21/20</f>
        <v>7928.55</v>
      </c>
      <c r="L21" s="68">
        <v>0.2</v>
      </c>
      <c r="M21" s="67">
        <f t="shared" si="7"/>
        <v>1585.71</v>
      </c>
      <c r="N21" s="1">
        <f>H21/20</f>
        <v>5700</v>
      </c>
    </row>
    <row r="22" spans="2:14" x14ac:dyDescent="0.25">
      <c r="B22" s="1" t="s">
        <v>62</v>
      </c>
      <c r="C22" s="1" t="s">
        <v>128</v>
      </c>
      <c r="D22" s="67">
        <v>120000</v>
      </c>
      <c r="E22" s="67">
        <f t="shared" si="0"/>
        <v>156000</v>
      </c>
      <c r="F22" s="1" t="s">
        <v>106</v>
      </c>
      <c r="G22" s="67">
        <v>10000</v>
      </c>
      <c r="H22" s="67">
        <f t="shared" si="1"/>
        <v>166000</v>
      </c>
      <c r="I22" s="68">
        <v>0.25</v>
      </c>
      <c r="J22" s="67">
        <f t="shared" si="2"/>
        <v>218000</v>
      </c>
      <c r="K22" s="67">
        <f t="shared" si="6"/>
        <v>10900</v>
      </c>
      <c r="L22" s="68">
        <v>0.1</v>
      </c>
      <c r="M22" s="67">
        <f t="shared" si="7"/>
        <v>1090</v>
      </c>
      <c r="N22" s="1">
        <f t="shared" si="5"/>
        <v>8300</v>
      </c>
    </row>
    <row r="23" spans="2:14" x14ac:dyDescent="0.25">
      <c r="B23" s="1" t="s">
        <v>62</v>
      </c>
      <c r="C23" s="1" t="s">
        <v>129</v>
      </c>
      <c r="D23" s="67">
        <v>120000</v>
      </c>
      <c r="E23" s="67">
        <f t="shared" ref="E23:E29" si="8">D23*1.3</f>
        <v>156000</v>
      </c>
      <c r="F23" s="1" t="s">
        <v>55</v>
      </c>
      <c r="G23" s="67">
        <v>10000</v>
      </c>
      <c r="H23" s="67">
        <f t="shared" ref="H23:H29" si="9">SUM(G23,E23)</f>
        <v>166000</v>
      </c>
      <c r="I23" s="68">
        <v>0.25</v>
      </c>
      <c r="J23" s="67">
        <f t="shared" ref="J23:J29" si="10">INT(E23/(1-I23)+G23)</f>
        <v>218000</v>
      </c>
      <c r="K23" s="67">
        <f>J23/20</f>
        <v>10900</v>
      </c>
      <c r="L23" s="68">
        <v>0.1</v>
      </c>
      <c r="M23" s="67">
        <f t="shared" si="7"/>
        <v>1090</v>
      </c>
      <c r="N23" s="1">
        <f>H23/20</f>
        <v>8300</v>
      </c>
    </row>
    <row r="24" spans="2:14" x14ac:dyDescent="0.25">
      <c r="B24" s="1" t="s">
        <v>58</v>
      </c>
      <c r="C24" s="1" t="s">
        <v>130</v>
      </c>
      <c r="D24" s="67">
        <v>40000</v>
      </c>
      <c r="E24" s="67">
        <f t="shared" si="8"/>
        <v>52000</v>
      </c>
      <c r="F24" s="1" t="s">
        <v>106</v>
      </c>
      <c r="G24" s="67">
        <v>10000</v>
      </c>
      <c r="H24" s="67">
        <f t="shared" si="9"/>
        <v>62000</v>
      </c>
      <c r="I24" s="68">
        <v>0.4</v>
      </c>
      <c r="J24" s="67">
        <f t="shared" si="10"/>
        <v>96666</v>
      </c>
      <c r="K24" s="67">
        <f t="shared" si="6"/>
        <v>4833.3</v>
      </c>
      <c r="L24" s="68">
        <v>0.2</v>
      </c>
      <c r="M24" s="67">
        <f t="shared" si="7"/>
        <v>966.66000000000008</v>
      </c>
      <c r="N24" s="1">
        <f t="shared" si="5"/>
        <v>3100</v>
      </c>
    </row>
    <row r="25" spans="2:14" x14ac:dyDescent="0.25">
      <c r="B25" s="1" t="s">
        <v>58</v>
      </c>
      <c r="C25" s="1" t="s">
        <v>131</v>
      </c>
      <c r="D25" s="67">
        <v>40000</v>
      </c>
      <c r="E25" s="67">
        <f t="shared" si="8"/>
        <v>52000</v>
      </c>
      <c r="F25" s="1" t="s">
        <v>55</v>
      </c>
      <c r="G25" s="67">
        <v>1000</v>
      </c>
      <c r="H25" s="67">
        <f t="shared" si="9"/>
        <v>53000</v>
      </c>
      <c r="I25" s="68">
        <v>0.5</v>
      </c>
      <c r="J25" s="67">
        <f t="shared" si="10"/>
        <v>105000</v>
      </c>
      <c r="K25" s="67">
        <f t="shared" si="6"/>
        <v>5250</v>
      </c>
      <c r="L25" s="68" t="s">
        <v>30</v>
      </c>
      <c r="M25" s="1"/>
      <c r="N25" s="1">
        <f t="shared" si="5"/>
        <v>2650</v>
      </c>
    </row>
    <row r="26" spans="2:14" x14ac:dyDescent="0.25">
      <c r="B26" s="1" t="s">
        <v>58</v>
      </c>
      <c r="C26" s="1" t="s">
        <v>132</v>
      </c>
      <c r="D26" s="67">
        <v>40000</v>
      </c>
      <c r="E26" s="67">
        <f t="shared" si="8"/>
        <v>52000</v>
      </c>
      <c r="F26" s="1" t="s">
        <v>106</v>
      </c>
      <c r="G26" s="67">
        <v>1000</v>
      </c>
      <c r="H26" s="67">
        <f t="shared" si="9"/>
        <v>53000</v>
      </c>
      <c r="I26" s="68">
        <v>0.5</v>
      </c>
      <c r="J26" s="67">
        <f t="shared" si="10"/>
        <v>105000</v>
      </c>
      <c r="K26" s="67">
        <f>J26/20</f>
        <v>5250</v>
      </c>
      <c r="L26" s="68" t="s">
        <v>30</v>
      </c>
      <c r="M26" s="1"/>
      <c r="N26" s="1">
        <f>H26/20</f>
        <v>2650</v>
      </c>
    </row>
    <row r="27" spans="2:14" x14ac:dyDescent="0.25">
      <c r="B27" s="1" t="s">
        <v>58</v>
      </c>
      <c r="C27" s="1" t="s">
        <v>133</v>
      </c>
      <c r="D27" s="67">
        <v>30000</v>
      </c>
      <c r="E27" s="67">
        <f t="shared" si="8"/>
        <v>39000</v>
      </c>
      <c r="F27" s="1" t="s">
        <v>106</v>
      </c>
      <c r="G27" s="67">
        <v>1000</v>
      </c>
      <c r="H27" s="67">
        <f t="shared" si="9"/>
        <v>40000</v>
      </c>
      <c r="I27" s="68">
        <v>0.5</v>
      </c>
      <c r="J27" s="67">
        <f t="shared" si="10"/>
        <v>79000</v>
      </c>
      <c r="K27" s="67">
        <f>J27/20</f>
        <v>3950</v>
      </c>
      <c r="L27" s="68" t="s">
        <v>30</v>
      </c>
      <c r="M27" s="1"/>
      <c r="N27" s="1">
        <f>H27/20</f>
        <v>2000</v>
      </c>
    </row>
    <row r="28" spans="2:14" x14ac:dyDescent="0.25">
      <c r="B28" s="1" t="s">
        <v>58</v>
      </c>
      <c r="C28" s="1" t="s">
        <v>134</v>
      </c>
      <c r="D28" s="67">
        <v>25000</v>
      </c>
      <c r="E28" s="67">
        <f t="shared" si="8"/>
        <v>32500</v>
      </c>
      <c r="F28" s="1" t="s">
        <v>106</v>
      </c>
      <c r="G28" s="67">
        <v>1000</v>
      </c>
      <c r="H28" s="67">
        <f t="shared" si="9"/>
        <v>33500</v>
      </c>
      <c r="I28" s="68">
        <v>0.5</v>
      </c>
      <c r="J28" s="67">
        <f t="shared" si="10"/>
        <v>66000</v>
      </c>
      <c r="K28" s="67">
        <f t="shared" si="6"/>
        <v>3300</v>
      </c>
      <c r="L28" s="68" t="s">
        <v>30</v>
      </c>
      <c r="M28" s="1"/>
      <c r="N28" s="1">
        <f t="shared" si="5"/>
        <v>1675</v>
      </c>
    </row>
    <row r="29" spans="2:14" x14ac:dyDescent="0.25">
      <c r="B29" s="1" t="s">
        <v>58</v>
      </c>
      <c r="C29" s="1" t="s">
        <v>134</v>
      </c>
      <c r="D29" s="67">
        <v>25000</v>
      </c>
      <c r="E29" s="67">
        <f t="shared" si="8"/>
        <v>32500</v>
      </c>
      <c r="F29" s="1" t="s">
        <v>108</v>
      </c>
      <c r="G29" s="67">
        <v>0</v>
      </c>
      <c r="H29" s="67">
        <f t="shared" si="9"/>
        <v>32500</v>
      </c>
      <c r="I29" s="68">
        <v>0.5</v>
      </c>
      <c r="J29" s="67">
        <f t="shared" si="10"/>
        <v>65000</v>
      </c>
      <c r="K29" s="67">
        <f>J29/20</f>
        <v>3250</v>
      </c>
      <c r="L29" s="68" t="s">
        <v>30</v>
      </c>
      <c r="M29" s="1"/>
      <c r="N29" s="1">
        <f>H29/20</f>
        <v>1625</v>
      </c>
    </row>
    <row r="30" spans="2:14" x14ac:dyDescent="0.25">
      <c r="B30" s="1" t="s">
        <v>59</v>
      </c>
      <c r="C30" s="1"/>
      <c r="D30" s="67">
        <v>25000</v>
      </c>
      <c r="E30" s="67">
        <f t="shared" si="0"/>
        <v>32500</v>
      </c>
      <c r="F30" s="1" t="s">
        <v>55</v>
      </c>
      <c r="G30" s="67">
        <v>1000</v>
      </c>
      <c r="H30" s="67">
        <f t="shared" si="1"/>
        <v>33500</v>
      </c>
      <c r="I30" s="68">
        <v>0.5</v>
      </c>
      <c r="J30" s="67">
        <f t="shared" si="2"/>
        <v>66000</v>
      </c>
      <c r="K30" s="67">
        <f t="shared" si="3"/>
        <v>3300</v>
      </c>
      <c r="L30" s="68" t="s">
        <v>30</v>
      </c>
      <c r="M30" s="1"/>
      <c r="N30" s="1">
        <f t="shared" si="5"/>
        <v>1675</v>
      </c>
    </row>
    <row r="31" spans="2:14" x14ac:dyDescent="0.25">
      <c r="B31" s="1" t="s">
        <v>58</v>
      </c>
      <c r="C31" s="1" t="s">
        <v>135</v>
      </c>
      <c r="D31" s="67">
        <v>25000</v>
      </c>
      <c r="E31" s="67">
        <f t="shared" si="0"/>
        <v>32500</v>
      </c>
      <c r="F31" s="1" t="s">
        <v>106</v>
      </c>
      <c r="G31" s="67">
        <v>10000</v>
      </c>
      <c r="H31" s="67">
        <f t="shared" si="1"/>
        <v>42500</v>
      </c>
      <c r="I31" s="68">
        <v>0.5</v>
      </c>
      <c r="J31" s="67">
        <f t="shared" si="2"/>
        <v>75000</v>
      </c>
      <c r="K31" s="67">
        <f t="shared" si="3"/>
        <v>3750</v>
      </c>
      <c r="L31" s="68">
        <v>0.5</v>
      </c>
      <c r="M31" s="67">
        <f>L31*K31</f>
        <v>1875</v>
      </c>
      <c r="N31" s="1">
        <f t="shared" si="5"/>
        <v>2125</v>
      </c>
    </row>
    <row r="32" spans="2:14" x14ac:dyDescent="0.25">
      <c r="B32" s="1" t="s">
        <v>60</v>
      </c>
      <c r="C32" s="1" t="s">
        <v>136</v>
      </c>
      <c r="D32" s="67">
        <v>40000</v>
      </c>
      <c r="E32" s="67">
        <f t="shared" si="0"/>
        <v>52000</v>
      </c>
      <c r="F32" s="1" t="s">
        <v>106</v>
      </c>
      <c r="G32" s="67">
        <v>10000</v>
      </c>
      <c r="H32" s="67">
        <f t="shared" si="1"/>
        <v>62000</v>
      </c>
      <c r="I32" s="68">
        <v>0.4</v>
      </c>
      <c r="J32" s="67">
        <f t="shared" si="2"/>
        <v>96666</v>
      </c>
      <c r="K32" s="67">
        <f t="shared" si="3"/>
        <v>4833.3</v>
      </c>
      <c r="L32" s="68">
        <v>0.2</v>
      </c>
      <c r="M32" s="67">
        <f>L32*K32</f>
        <v>966.66000000000008</v>
      </c>
      <c r="N32" s="1">
        <f t="shared" si="5"/>
        <v>3100</v>
      </c>
    </row>
    <row r="33" spans="2:14" x14ac:dyDescent="0.25">
      <c r="B33" s="1" t="s">
        <v>61</v>
      </c>
      <c r="C33" s="1" t="s">
        <v>137</v>
      </c>
      <c r="D33" s="67">
        <v>60000</v>
      </c>
      <c r="E33" s="67">
        <f t="shared" si="0"/>
        <v>78000</v>
      </c>
      <c r="F33" s="1" t="s">
        <v>106</v>
      </c>
      <c r="G33" s="67">
        <v>10000</v>
      </c>
      <c r="H33" s="67">
        <f t="shared" si="1"/>
        <v>88000</v>
      </c>
      <c r="I33" s="68">
        <v>0.3</v>
      </c>
      <c r="J33" s="67">
        <f t="shared" si="2"/>
        <v>121428</v>
      </c>
      <c r="K33" s="67">
        <f t="shared" si="3"/>
        <v>6071.4</v>
      </c>
      <c r="L33" s="68">
        <v>0.2</v>
      </c>
      <c r="M33" s="67">
        <f>L33*K33</f>
        <v>1214.28</v>
      </c>
      <c r="N33" s="1">
        <f t="shared" si="5"/>
        <v>4400</v>
      </c>
    </row>
    <row r="34" spans="2:14" x14ac:dyDescent="0.25">
      <c r="B34" s="1" t="s">
        <v>62</v>
      </c>
      <c r="C34" s="1" t="s">
        <v>138</v>
      </c>
      <c r="D34" s="67">
        <v>100000</v>
      </c>
      <c r="E34" s="67">
        <f t="shared" si="0"/>
        <v>130000</v>
      </c>
      <c r="F34" s="1" t="s">
        <v>106</v>
      </c>
      <c r="G34" s="67">
        <v>10000</v>
      </c>
      <c r="H34" s="67">
        <f t="shared" si="1"/>
        <v>140000</v>
      </c>
      <c r="I34" s="68">
        <v>0.25</v>
      </c>
      <c r="J34" s="67">
        <f t="shared" si="2"/>
        <v>183333</v>
      </c>
      <c r="K34" s="67">
        <f t="shared" si="3"/>
        <v>9166.65</v>
      </c>
      <c r="L34" s="68">
        <v>0.1</v>
      </c>
      <c r="M34" s="67">
        <f>L34*K34</f>
        <v>916.66499999999996</v>
      </c>
      <c r="N34" s="1">
        <f t="shared" si="5"/>
        <v>7000</v>
      </c>
    </row>
    <row r="35" spans="2:14" x14ac:dyDescent="0.25">
      <c r="B35" s="1" t="s">
        <v>59</v>
      </c>
      <c r="C35" s="1" t="s">
        <v>139</v>
      </c>
      <c r="D35" s="67">
        <v>25000</v>
      </c>
      <c r="E35" s="67">
        <f t="shared" si="0"/>
        <v>32500</v>
      </c>
      <c r="F35" s="1" t="s">
        <v>55</v>
      </c>
      <c r="G35" s="67">
        <v>1000</v>
      </c>
      <c r="H35" s="67">
        <f t="shared" si="1"/>
        <v>33500</v>
      </c>
      <c r="I35" s="68">
        <v>0.5</v>
      </c>
      <c r="J35" s="67">
        <f t="shared" si="2"/>
        <v>66000</v>
      </c>
      <c r="K35" s="67">
        <f t="shared" si="3"/>
        <v>3300</v>
      </c>
      <c r="L35" s="68" t="s">
        <v>30</v>
      </c>
      <c r="M35" s="1"/>
      <c r="N35" s="1">
        <f t="shared" si="5"/>
        <v>1675</v>
      </c>
    </row>
    <row r="36" spans="2:14" x14ac:dyDescent="0.25">
      <c r="B36" s="1" t="s">
        <v>58</v>
      </c>
      <c r="C36" s="1" t="s">
        <v>139</v>
      </c>
      <c r="D36" s="67">
        <v>25000</v>
      </c>
      <c r="E36" s="67">
        <f t="shared" si="0"/>
        <v>32500</v>
      </c>
      <c r="F36" s="1" t="s">
        <v>106</v>
      </c>
      <c r="G36" s="67">
        <v>10000</v>
      </c>
      <c r="H36" s="67">
        <f t="shared" si="1"/>
        <v>42500</v>
      </c>
      <c r="I36" s="68">
        <v>0.5</v>
      </c>
      <c r="J36" s="67">
        <f t="shared" si="2"/>
        <v>75000</v>
      </c>
      <c r="K36" s="67">
        <f t="shared" si="3"/>
        <v>3750</v>
      </c>
      <c r="L36" s="68">
        <v>0.5</v>
      </c>
      <c r="M36" s="67">
        <f>L36*K36</f>
        <v>1875</v>
      </c>
      <c r="N36" s="1">
        <f t="shared" si="5"/>
        <v>2125</v>
      </c>
    </row>
    <row r="37" spans="2:14" x14ac:dyDescent="0.25">
      <c r="B37" s="1" t="s">
        <v>60</v>
      </c>
      <c r="C37" s="1" t="s">
        <v>140</v>
      </c>
      <c r="D37" s="67">
        <v>40000</v>
      </c>
      <c r="E37" s="67">
        <f t="shared" si="0"/>
        <v>52000</v>
      </c>
      <c r="F37" s="1" t="s">
        <v>106</v>
      </c>
      <c r="G37" s="67">
        <v>10000</v>
      </c>
      <c r="H37" s="67">
        <f t="shared" si="1"/>
        <v>62000</v>
      </c>
      <c r="I37" s="68">
        <v>0.4</v>
      </c>
      <c r="J37" s="67">
        <f t="shared" si="2"/>
        <v>96666</v>
      </c>
      <c r="K37" s="67">
        <f t="shared" si="3"/>
        <v>4833.3</v>
      </c>
      <c r="L37" s="68">
        <v>0.2</v>
      </c>
      <c r="M37" s="67">
        <f>L37*K37</f>
        <v>966.66000000000008</v>
      </c>
      <c r="N37" s="1">
        <f t="shared" si="5"/>
        <v>3100</v>
      </c>
    </row>
    <row r="38" spans="2:14" x14ac:dyDescent="0.25">
      <c r="B38" s="1" t="s">
        <v>61</v>
      </c>
      <c r="C38" s="1" t="s">
        <v>141</v>
      </c>
      <c r="D38" s="67">
        <v>60000</v>
      </c>
      <c r="E38" s="67">
        <f t="shared" si="0"/>
        <v>78000</v>
      </c>
      <c r="F38" s="1" t="s">
        <v>106</v>
      </c>
      <c r="G38" s="67">
        <v>10000</v>
      </c>
      <c r="H38" s="67">
        <f t="shared" si="1"/>
        <v>88000</v>
      </c>
      <c r="I38" s="68">
        <v>0.3</v>
      </c>
      <c r="J38" s="67">
        <f t="shared" si="2"/>
        <v>121428</v>
      </c>
      <c r="K38" s="67">
        <f t="shared" si="3"/>
        <v>6071.4</v>
      </c>
      <c r="L38" s="68">
        <v>0.2</v>
      </c>
      <c r="M38" s="67">
        <f>L38*K38</f>
        <v>1214.28</v>
      </c>
      <c r="N38" s="1">
        <f t="shared" si="5"/>
        <v>4400</v>
      </c>
    </row>
    <row r="39" spans="2:14" x14ac:dyDescent="0.25">
      <c r="B39" s="1" t="s">
        <v>62</v>
      </c>
      <c r="C39" s="1" t="s">
        <v>142</v>
      </c>
      <c r="D39" s="67">
        <v>100000</v>
      </c>
      <c r="E39" s="67">
        <f t="shared" si="0"/>
        <v>130000</v>
      </c>
      <c r="F39" s="1" t="s">
        <v>106</v>
      </c>
      <c r="G39" s="67">
        <v>10000</v>
      </c>
      <c r="H39" s="67">
        <f t="shared" si="1"/>
        <v>140000</v>
      </c>
      <c r="I39" s="68">
        <v>0.25</v>
      </c>
      <c r="J39" s="67">
        <f t="shared" si="2"/>
        <v>183333</v>
      </c>
      <c r="K39" s="67">
        <f t="shared" si="3"/>
        <v>9166.65</v>
      </c>
      <c r="L39" s="68">
        <v>0.1</v>
      </c>
      <c r="M39" s="67">
        <f>L39*K39</f>
        <v>916.66499999999996</v>
      </c>
      <c r="N39" s="1">
        <f t="shared" si="5"/>
        <v>7000</v>
      </c>
    </row>
  </sheetData>
  <autoFilter ref="B2:N39" xr:uid="{00000000-0009-0000-0000-00000C000000}"/>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C00-000000000000}">
          <x14:formula1>
            <xm:f>Master!$F$9:$F$11</xm:f>
          </x14:formula1>
          <xm:sqref>F3:F39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1:H14"/>
  <sheetViews>
    <sheetView topLeftCell="A70" zoomScale="80" zoomScaleNormal="80" workbookViewId="0">
      <selection activeCell="B6" sqref="B6"/>
    </sheetView>
  </sheetViews>
  <sheetFormatPr defaultRowHeight="15" x14ac:dyDescent="0.25"/>
  <cols>
    <col min="2" max="2" width="13.5703125" customWidth="1"/>
    <col min="3" max="3" width="20" bestFit="1" customWidth="1"/>
    <col min="4" max="4" width="15" customWidth="1"/>
    <col min="5" max="5" width="15.28515625" bestFit="1" customWidth="1"/>
    <col min="6" max="6" width="13.42578125" customWidth="1"/>
    <col min="7" max="7" width="15.85546875" bestFit="1" customWidth="1"/>
    <col min="8" max="8" width="18.85546875" customWidth="1"/>
  </cols>
  <sheetData>
    <row r="1" spans="2:8" x14ac:dyDescent="0.25">
      <c r="C1" s="36" t="s">
        <v>88</v>
      </c>
      <c r="D1" s="35" t="str">
        <f>Summary!$E$2</f>
        <v>&lt;Client/Prospect Name&gt;</v>
      </c>
    </row>
    <row r="2" spans="2:8" x14ac:dyDescent="0.25">
      <c r="C2" s="36" t="s">
        <v>89</v>
      </c>
      <c r="D2" s="35" t="str">
        <f>Summary!$E$3</f>
        <v>&lt;Project/Requirement &gt;</v>
      </c>
    </row>
    <row r="5" spans="2:8" x14ac:dyDescent="0.25">
      <c r="B5" s="45" t="s">
        <v>49</v>
      </c>
      <c r="C5" s="45" t="str">
        <f>CONCATENATE("Efforts (",Summary!$E$8,")")</f>
        <v>Efforts (Days)</v>
      </c>
      <c r="D5" s="45" t="str">
        <f>CONCATENATE("Cost (",Summary!$E$9,")")</f>
        <v>Cost (INR)</v>
      </c>
      <c r="E5" s="45" t="str">
        <f>CONCATENATE("Revenue (",Summary!$E$9,")")</f>
        <v>Revenue (INR)</v>
      </c>
      <c r="F5" s="45" t="s">
        <v>2</v>
      </c>
      <c r="G5" s="45" t="str">
        <f>CONCATENATE("Expenses (",Summary!$E$9,")")</f>
        <v>Expenses (INR)</v>
      </c>
      <c r="H5" s="45" t="s">
        <v>107</v>
      </c>
    </row>
    <row r="6" spans="2:8" x14ac:dyDescent="0.25">
      <c r="B6" s="58" t="s">
        <v>106</v>
      </c>
      <c r="C6" s="59">
        <f>'Offshore Costing'!E27</f>
        <v>3</v>
      </c>
      <c r="D6" s="64">
        <f>'Offshore Costing'!F27</f>
        <v>13200</v>
      </c>
      <c r="E6" s="64">
        <f>'Offshore Costing'!G27</f>
        <v>18214.199999999997</v>
      </c>
      <c r="F6" s="60">
        <f>IF(D6&gt;0,((E6-D6)/D6))</f>
        <v>0.37986363636363613</v>
      </c>
      <c r="G6" s="61">
        <f>'Offshore Costing'!F39</f>
        <v>0</v>
      </c>
      <c r="H6" s="60">
        <f>IF(D6&gt;0,SUM(E6-(G6+D6))/(G6+D6))</f>
        <v>0.37986363636363613</v>
      </c>
    </row>
    <row r="7" spans="2:8" x14ac:dyDescent="0.25">
      <c r="B7" s="58" t="s">
        <v>55</v>
      </c>
      <c r="C7" s="59">
        <f>'Onsite Costing'!E27</f>
        <v>91</v>
      </c>
      <c r="D7" s="64">
        <f>'Onsite Costing'!F27</f>
        <v>164125</v>
      </c>
      <c r="E7" s="64">
        <f>'Onsite Costing'!G27</f>
        <v>313299.59999999998</v>
      </c>
      <c r="F7" s="60">
        <f>IF(D7&gt;0,((E7-D7)/D7))</f>
        <v>0.90890845392231512</v>
      </c>
      <c r="G7" s="61">
        <f>'Onsite Costing'!F34</f>
        <v>0</v>
      </c>
      <c r="H7" s="60">
        <f>IF(D7&gt;0,SUM(E7-(G7+D7))/(G7+D7))</f>
        <v>0.90890845392231512</v>
      </c>
    </row>
    <row r="8" spans="2:8" x14ac:dyDescent="0.25">
      <c r="B8" s="58" t="s">
        <v>108</v>
      </c>
      <c r="C8" s="59">
        <f>'Client Site Costing'!E27</f>
        <v>42</v>
      </c>
      <c r="D8" s="64">
        <f>'Client Site Costing'!F27</f>
        <v>68250</v>
      </c>
      <c r="E8" s="64">
        <f>'Client Site Costing'!G27</f>
        <v>136500</v>
      </c>
      <c r="F8" s="60">
        <f>IF(D8&gt;0,((E8-D8)/D8))</f>
        <v>1</v>
      </c>
      <c r="G8" s="61">
        <f>'Client Site Costing'!F39</f>
        <v>2500</v>
      </c>
      <c r="H8" s="60">
        <f>IF(D8&gt;0,SUM(E8-(G8+D8))/(G8+D8))</f>
        <v>0.92932862190812726</v>
      </c>
    </row>
    <row r="11" spans="2:8" x14ac:dyDescent="0.25">
      <c r="B11" s="58" t="s">
        <v>109</v>
      </c>
      <c r="C11" s="58">
        <f>SUM(C6:C8)</f>
        <v>136</v>
      </c>
      <c r="D11" s="61">
        <f>SUM(D6:D8)</f>
        <v>245575</v>
      </c>
      <c r="E11" s="61">
        <f>SUM(E6:E8)</f>
        <v>468013.8</v>
      </c>
      <c r="F11" s="60">
        <f>IF(D11&gt;0,((E11-D11)/D11))</f>
        <v>0.90578764125012723</v>
      </c>
      <c r="G11" s="61">
        <f>SUM(G6:G8)</f>
        <v>2500</v>
      </c>
      <c r="H11" s="60">
        <f>IF(D11&gt;0,SUM(E11-(G11+D11))/(G11+D11))</f>
        <v>0.88658188047969355</v>
      </c>
    </row>
    <row r="13" spans="2:8" x14ac:dyDescent="0.25">
      <c r="C13" t="s">
        <v>30</v>
      </c>
    </row>
    <row r="14" spans="2:8" x14ac:dyDescent="0.25">
      <c r="C14" t="s">
        <v>30</v>
      </c>
    </row>
  </sheetData>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D2:H14"/>
  <sheetViews>
    <sheetView zoomScaleNormal="100" workbookViewId="0">
      <selection activeCell="B6" sqref="B6"/>
    </sheetView>
  </sheetViews>
  <sheetFormatPr defaultRowHeight="15" x14ac:dyDescent="0.25"/>
  <cols>
    <col min="4" max="4" width="21" customWidth="1"/>
    <col min="5" max="5" width="16.140625" customWidth="1"/>
    <col min="6" max="6" width="21" customWidth="1"/>
    <col min="7" max="7" width="11.5703125" bestFit="1" customWidth="1"/>
    <col min="8" max="8" width="18.5703125" customWidth="1"/>
  </cols>
  <sheetData>
    <row r="2" spans="4:8" ht="30" customHeight="1" x14ac:dyDescent="0.25">
      <c r="D2" s="98" t="s">
        <v>254</v>
      </c>
      <c r="E2" s="101" t="s">
        <v>255</v>
      </c>
      <c r="F2" s="98" t="s">
        <v>252</v>
      </c>
      <c r="G2" s="98" t="s">
        <v>2</v>
      </c>
      <c r="H2" s="101" t="s">
        <v>253</v>
      </c>
    </row>
    <row r="3" spans="4:8" x14ac:dyDescent="0.25">
      <c r="D3" s="99">
        <f>'Final Estimates'!$D$11+'Final Estimates'!$G$11</f>
        <v>248075</v>
      </c>
      <c r="E3" s="99">
        <v>10</v>
      </c>
      <c r="F3" s="102">
        <f>D3/(100-E3)*100</f>
        <v>275638.88888888888</v>
      </c>
      <c r="G3" s="99">
        <f>F3-D3</f>
        <v>27563.888888888876</v>
      </c>
      <c r="H3" s="31">
        <f>G3/F3</f>
        <v>9.9999999999999964E-2</v>
      </c>
    </row>
    <row r="4" spans="4:8" x14ac:dyDescent="0.25">
      <c r="D4" s="99">
        <f>'Final Estimates'!$D$11</f>
        <v>245575</v>
      </c>
      <c r="E4" s="99">
        <v>15</v>
      </c>
      <c r="F4" s="102">
        <f t="shared" ref="F4:F13" si="0">D4/(100-E4)*100</f>
        <v>288911.76470588235</v>
      </c>
      <c r="G4" s="99">
        <f t="shared" ref="G4:G14" si="1">F4-D4</f>
        <v>43336.76470588235</v>
      </c>
      <c r="H4" s="31">
        <f t="shared" ref="H4:H14" si="2">G4/F4</f>
        <v>0.15</v>
      </c>
    </row>
    <row r="5" spans="4:8" x14ac:dyDescent="0.25">
      <c r="D5" s="99">
        <f>'Final Estimates'!$D$11</f>
        <v>245575</v>
      </c>
      <c r="E5" s="99">
        <v>20</v>
      </c>
      <c r="F5" s="102">
        <f t="shared" si="0"/>
        <v>306968.75</v>
      </c>
      <c r="G5" s="99">
        <f t="shared" si="1"/>
        <v>61393.75</v>
      </c>
      <c r="H5" s="31">
        <f t="shared" si="2"/>
        <v>0.2</v>
      </c>
    </row>
    <row r="6" spans="4:8" x14ac:dyDescent="0.25">
      <c r="D6" s="99">
        <f>'Final Estimates'!$D$11</f>
        <v>245575</v>
      </c>
      <c r="E6" s="99">
        <v>25</v>
      </c>
      <c r="F6" s="102">
        <f t="shared" si="0"/>
        <v>327433.33333333337</v>
      </c>
      <c r="G6" s="99">
        <f t="shared" si="1"/>
        <v>81858.333333333372</v>
      </c>
      <c r="H6" s="31">
        <f t="shared" si="2"/>
        <v>0.25000000000000011</v>
      </c>
    </row>
    <row r="7" spans="4:8" x14ac:dyDescent="0.25">
      <c r="D7" s="99">
        <f>'Final Estimates'!$D$11</f>
        <v>245575</v>
      </c>
      <c r="E7" s="99">
        <v>30</v>
      </c>
      <c r="F7" s="102">
        <f t="shared" si="0"/>
        <v>350821.42857142858</v>
      </c>
      <c r="G7" s="99">
        <f t="shared" si="1"/>
        <v>105246.42857142858</v>
      </c>
      <c r="H7" s="31">
        <f t="shared" si="2"/>
        <v>0.3</v>
      </c>
    </row>
    <row r="8" spans="4:8" x14ac:dyDescent="0.25">
      <c r="D8" s="99">
        <f>'Final Estimates'!$D$11</f>
        <v>245575</v>
      </c>
      <c r="E8" s="99">
        <v>35</v>
      </c>
      <c r="F8" s="102">
        <f t="shared" si="0"/>
        <v>377807.69230769231</v>
      </c>
      <c r="G8" s="99">
        <f t="shared" si="1"/>
        <v>132232.69230769231</v>
      </c>
      <c r="H8" s="31">
        <f t="shared" si="2"/>
        <v>0.35000000000000003</v>
      </c>
    </row>
    <row r="9" spans="4:8" x14ac:dyDescent="0.25">
      <c r="D9" s="99">
        <f>'Final Estimates'!$D$11</f>
        <v>245575</v>
      </c>
      <c r="E9" s="99">
        <v>40</v>
      </c>
      <c r="F9" s="102">
        <f t="shared" si="0"/>
        <v>409291.66666666663</v>
      </c>
      <c r="G9" s="99">
        <f t="shared" si="1"/>
        <v>163716.66666666663</v>
      </c>
      <c r="H9" s="31">
        <f t="shared" si="2"/>
        <v>0.39999999999999997</v>
      </c>
    </row>
    <row r="10" spans="4:8" x14ac:dyDescent="0.25">
      <c r="D10" s="99">
        <f>'Final Estimates'!$D$11</f>
        <v>245575</v>
      </c>
      <c r="E10" s="99">
        <v>45</v>
      </c>
      <c r="F10" s="102">
        <f t="shared" si="0"/>
        <v>446500</v>
      </c>
      <c r="G10" s="99">
        <f t="shared" si="1"/>
        <v>200925</v>
      </c>
      <c r="H10" s="31">
        <f t="shared" si="2"/>
        <v>0.45</v>
      </c>
    </row>
    <row r="11" spans="4:8" x14ac:dyDescent="0.25">
      <c r="D11" s="99">
        <f>'Final Estimates'!$D$11</f>
        <v>245575</v>
      </c>
      <c r="E11" s="99">
        <v>50</v>
      </c>
      <c r="F11" s="102">
        <f t="shared" si="0"/>
        <v>491150</v>
      </c>
      <c r="G11" s="99">
        <f t="shared" si="1"/>
        <v>245575</v>
      </c>
      <c r="H11" s="31">
        <f t="shared" si="2"/>
        <v>0.5</v>
      </c>
    </row>
    <row r="12" spans="4:8" x14ac:dyDescent="0.25">
      <c r="D12" s="99">
        <f>'Final Estimates'!$D$11</f>
        <v>245575</v>
      </c>
      <c r="E12" s="99">
        <v>55</v>
      </c>
      <c r="F12" s="102">
        <f t="shared" si="0"/>
        <v>545722.22222222225</v>
      </c>
      <c r="G12" s="99">
        <f t="shared" si="1"/>
        <v>300147.22222222225</v>
      </c>
      <c r="H12" s="31">
        <f t="shared" si="2"/>
        <v>0.55000000000000004</v>
      </c>
    </row>
    <row r="13" spans="4:8" x14ac:dyDescent="0.25">
      <c r="D13" s="99">
        <f>'Final Estimates'!$D$11</f>
        <v>245575</v>
      </c>
      <c r="E13" s="99">
        <v>60</v>
      </c>
      <c r="F13" s="102">
        <f t="shared" si="0"/>
        <v>613937.5</v>
      </c>
      <c r="G13" s="99">
        <f t="shared" si="1"/>
        <v>368362.5</v>
      </c>
      <c r="H13" s="31">
        <f t="shared" si="2"/>
        <v>0.6</v>
      </c>
    </row>
    <row r="14" spans="4:8" x14ac:dyDescent="0.25">
      <c r="D14">
        <v>200</v>
      </c>
      <c r="E14" s="100">
        <v>100</v>
      </c>
      <c r="F14" s="99">
        <f>D14*(1+(E14/100))</f>
        <v>400</v>
      </c>
      <c r="G14" s="99">
        <f t="shared" si="1"/>
        <v>200</v>
      </c>
      <c r="H14" s="31">
        <f t="shared" si="2"/>
        <v>0.5</v>
      </c>
    </row>
  </sheetData>
  <pageMargins left="0.70866141732283472" right="0.70866141732283472" top="0.74803149606299213" bottom="0.74803149606299213" header="0.31496062992125984" footer="0.31496062992125984"/>
  <pageSetup scale="67" orientation="portrait" useFirstPageNumber="1" r:id="rId1"/>
  <headerFooter>
    <oddHeader>&amp;L&amp;G&amp;R&amp;"Times New Roman,Bold"&amp;12Form : Estimation Template</oddHeader>
    <oddFooter>&amp;L&amp;"Times New Roman,Italic"&amp;10Clover Infotech Internal&amp;C&amp;"Times New Roman,Italic"&amp;10Softcopy :QMS-L4-FR-PRT-03 Estimation Template Ver. :3.0&amp;R&amp;"Times New Roman,Italic"&amp;10Page :&amp;POf &amp;N</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How to Use</vt:lpstr>
      <vt:lpstr>General Application</vt:lpstr>
      <vt:lpstr>Reports</vt:lpstr>
      <vt:lpstr>Summary</vt:lpstr>
      <vt:lpstr>Detailed Dev Efforts</vt:lpstr>
      <vt:lpstr>Development</vt:lpstr>
      <vt:lpstr>Summary Efforts</vt:lpstr>
      <vt:lpstr>Resource Loading</vt:lpstr>
      <vt:lpstr>Offshore Costing</vt:lpstr>
      <vt:lpstr>Onsite Costing</vt:lpstr>
      <vt:lpstr>Client Site Costing</vt:lpstr>
      <vt:lpstr>Master</vt:lpstr>
      <vt:lpstr>RateCard</vt:lpstr>
      <vt:lpstr>Final Estimates</vt:lpstr>
      <vt:lpstr>CM Calculator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Vinit Kini</dc:creator>
  <cp:lastModifiedBy>Sushant Sarkhot</cp:lastModifiedBy>
  <cp:lastPrinted>2018-11-30T11:10:06Z</cp:lastPrinted>
  <dcterms:created xsi:type="dcterms:W3CDTF">2016-04-25T08:38:41Z</dcterms:created>
  <dcterms:modified xsi:type="dcterms:W3CDTF">2020-09-30T09:54:04Z</dcterms:modified>
</cp:coreProperties>
</file>